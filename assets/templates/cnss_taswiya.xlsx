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6A15DB-B060-49A8-8B09-3F62FF0D80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فقرة 50" sheetId="15" r:id="rId1"/>
    <sheet name="التسوية" sheetId="16" r:id="rId2"/>
    <sheet name="الرواتب والاجور" sheetId="14" r:id="rId3"/>
    <sheet name="التصريح الاسمي " sheetId="21" r:id="rId4"/>
  </sheets>
  <definedNames>
    <definedName name="_xlnm.Print_Area" localSheetId="1">التسوية!$A$1:$BH$57</definedName>
    <definedName name="_xlnm.Print_Area" localSheetId="0">'فقرة 50'!$A$1:$BI$57</definedName>
    <definedName name="_xlnm.Print_Titles" localSheetId="2">'الرواتب والاجور'!$1:$7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4" l="1"/>
  <c r="M67" i="14"/>
  <c r="F27" i="14"/>
  <c r="K67" i="14" l="1"/>
  <c r="J67" i="14"/>
  <c r="I67" i="14"/>
  <c r="H67" i="14"/>
  <c r="G67" i="14"/>
  <c r="F67" i="14"/>
  <c r="G47" i="14"/>
  <c r="F47" i="14"/>
  <c r="Q66" i="14"/>
  <c r="Q65" i="14"/>
  <c r="Q63" i="14"/>
  <c r="Q62" i="14"/>
  <c r="Q61" i="14"/>
  <c r="Q59" i="14"/>
  <c r="Q58" i="14"/>
  <c r="Q57" i="14"/>
  <c r="Q56" i="14"/>
  <c r="Q55" i="14"/>
  <c r="Q54" i="14"/>
  <c r="Q53" i="14"/>
  <c r="Q52" i="14"/>
  <c r="Q50" i="14"/>
  <c r="Q49" i="14"/>
  <c r="Q48" i="14"/>
  <c r="Q47" i="14" l="1"/>
  <c r="O56" i="14"/>
  <c r="P56" i="14" s="1"/>
  <c r="F25" i="21"/>
  <c r="F31" i="21" s="1"/>
  <c r="E25" i="21"/>
  <c r="E31" i="21" s="1"/>
  <c r="D25" i="21"/>
  <c r="D31" i="21" s="1"/>
  <c r="B5" i="21"/>
  <c r="D4" i="21"/>
  <c r="G2" i="21"/>
  <c r="E2" i="21"/>
  <c r="N47" i="14" l="1"/>
  <c r="N27" i="14"/>
  <c r="N67" i="14"/>
  <c r="N68" i="14" l="1"/>
  <c r="L65" i="14" l="1"/>
  <c r="R65" i="14" s="1"/>
  <c r="L12" i="14"/>
  <c r="L14" i="14"/>
  <c r="L16" i="14"/>
  <c r="L10" i="14"/>
  <c r="L18" i="14"/>
  <c r="L20" i="14"/>
  <c r="L22" i="14"/>
  <c r="L15" i="14"/>
  <c r="L23" i="14"/>
  <c r="L28" i="14"/>
  <c r="L32" i="14"/>
  <c r="L36" i="14"/>
  <c r="L40" i="14"/>
  <c r="L44" i="14"/>
  <c r="L49" i="14"/>
  <c r="L53" i="14"/>
  <c r="L57" i="14"/>
  <c r="L61" i="14"/>
  <c r="L66" i="14"/>
  <c r="R66" i="14" s="1"/>
  <c r="L11" i="14"/>
  <c r="L19" i="14"/>
  <c r="L8" i="14"/>
  <c r="L24" i="14"/>
  <c r="L29" i="14"/>
  <c r="L33" i="14"/>
  <c r="L37" i="14"/>
  <c r="L41" i="14"/>
  <c r="L45" i="14"/>
  <c r="L50" i="14"/>
  <c r="R50" i="14" s="1"/>
  <c r="L54" i="14"/>
  <c r="R54" i="14" s="1"/>
  <c r="L58" i="14"/>
  <c r="L62" i="14"/>
  <c r="L9" i="14"/>
  <c r="L13" i="14"/>
  <c r="L17" i="14"/>
  <c r="L21" i="14"/>
  <c r="L25" i="14"/>
  <c r="L30" i="14"/>
  <c r="L34" i="14"/>
  <c r="L38" i="14"/>
  <c r="L42" i="14"/>
  <c r="L46" i="14"/>
  <c r="L51" i="14"/>
  <c r="L55" i="14"/>
  <c r="R55" i="14" s="1"/>
  <c r="L59" i="14"/>
  <c r="R59" i="14" s="1"/>
  <c r="L63" i="14"/>
  <c r="R63" i="14" s="1"/>
  <c r="L26" i="14"/>
  <c r="L31" i="14"/>
  <c r="L35" i="14"/>
  <c r="L39" i="14"/>
  <c r="L43" i="14"/>
  <c r="L48" i="14"/>
  <c r="L52" i="14"/>
  <c r="R52" i="14" s="1"/>
  <c r="L56" i="14"/>
  <c r="R56" i="14" s="1"/>
  <c r="L60" i="14"/>
  <c r="L64" i="14"/>
  <c r="L67" i="14" l="1"/>
  <c r="R61" i="14"/>
  <c r="R57" i="14"/>
  <c r="R51" i="14"/>
  <c r="Q51" i="14"/>
  <c r="R53" i="14"/>
  <c r="R49" i="14"/>
  <c r="R48" i="14"/>
  <c r="R64" i="14"/>
  <c r="Q64" i="14"/>
  <c r="R60" i="14"/>
  <c r="Q60" i="14"/>
  <c r="R62" i="14"/>
  <c r="R58" i="14"/>
  <c r="Q67" i="14" l="1"/>
  <c r="R67" i="14"/>
  <c r="R47" i="14"/>
  <c r="A65" i="14"/>
  <c r="O66" i="14"/>
  <c r="O63" i="14"/>
  <c r="O62" i="14"/>
  <c r="O61" i="14"/>
  <c r="O59" i="14"/>
  <c r="O58" i="14"/>
  <c r="O57" i="14"/>
  <c r="O55" i="14"/>
  <c r="O54" i="14"/>
  <c r="O53" i="14"/>
  <c r="O52" i="14"/>
  <c r="O50" i="14"/>
  <c r="O49" i="14"/>
  <c r="O48" i="14"/>
  <c r="R27" i="14" l="1"/>
  <c r="R68" i="14" s="1"/>
  <c r="Q27" i="14"/>
  <c r="Q68" i="14" s="1"/>
  <c r="K27" i="14" l="1"/>
  <c r="J27" i="14"/>
  <c r="I27" i="14"/>
  <c r="H27" i="14"/>
  <c r="G27" i="14"/>
  <c r="P66" i="14" l="1"/>
  <c r="P63" i="14"/>
  <c r="P62" i="14"/>
  <c r="P61" i="14"/>
  <c r="P59" i="14"/>
  <c r="P58" i="14"/>
  <c r="P57" i="14"/>
  <c r="P55" i="14"/>
  <c r="P54" i="14"/>
  <c r="P52" i="14"/>
  <c r="P50" i="14"/>
  <c r="P49" i="14"/>
  <c r="P48" i="14" l="1"/>
  <c r="P53" i="14"/>
  <c r="O51" i="14" l="1"/>
  <c r="O64" i="14"/>
  <c r="P64" i="14" s="1"/>
  <c r="O60" i="14"/>
  <c r="P60" i="14" s="1"/>
  <c r="O65" i="14"/>
  <c r="P65" i="14" s="1"/>
  <c r="O47" i="14"/>
  <c r="P51" i="14" l="1"/>
  <c r="P67" i="14" s="1"/>
  <c r="O67" i="14"/>
  <c r="P47" i="14"/>
  <c r="D67" i="14"/>
  <c r="D47" i="14"/>
  <c r="D27" i="14"/>
  <c r="D68" i="14" l="1"/>
  <c r="A26" i="14"/>
  <c r="A51" i="14"/>
  <c r="A55" i="14"/>
  <c r="A66" i="14"/>
  <c r="A60" i="14"/>
  <c r="A50" i="14"/>
  <c r="A54" i="14"/>
  <c r="A61" i="14"/>
  <c r="A53" i="14"/>
  <c r="A56" i="14"/>
  <c r="A32" i="14"/>
  <c r="A33" i="14"/>
  <c r="A34" i="14"/>
  <c r="A35" i="14"/>
  <c r="A36" i="14"/>
  <c r="A37" i="14"/>
  <c r="A40" i="14"/>
  <c r="A42" i="14"/>
  <c r="A43" i="14"/>
  <c r="A45" i="14"/>
  <c r="A14" i="14"/>
  <c r="A16" i="14"/>
  <c r="A17" i="14"/>
  <c r="A22" i="14"/>
  <c r="A23" i="14"/>
  <c r="A15" i="14"/>
  <c r="A18" i="14"/>
  <c r="A25" i="14"/>
  <c r="A63" i="14"/>
  <c r="A21" i="14"/>
  <c r="L27" i="14"/>
  <c r="A58" i="14"/>
  <c r="A59" i="14"/>
  <c r="A52" i="14"/>
  <c r="A57" i="14"/>
  <c r="A62" i="14"/>
  <c r="A64" i="14"/>
  <c r="A38" i="14"/>
  <c r="A39" i="14"/>
  <c r="A41" i="14"/>
  <c r="A29" i="14"/>
  <c r="A44" i="14"/>
  <c r="A30" i="14"/>
  <c r="A46" i="14"/>
  <c r="A20" i="14"/>
  <c r="A19" i="14"/>
  <c r="A24" i="14"/>
  <c r="A12" i="14"/>
  <c r="A13" i="14" l="1"/>
  <c r="A11" i="14"/>
  <c r="A10" i="14"/>
  <c r="A48" i="14"/>
  <c r="A9" i="14"/>
  <c r="D69" i="14"/>
  <c r="A49" i="14"/>
  <c r="A31" i="14"/>
  <c r="P27" i="14" l="1"/>
  <c r="P68" i="14" s="1"/>
  <c r="O27" i="14"/>
  <c r="A27" i="14"/>
  <c r="A67" i="14"/>
  <c r="A28" i="14"/>
  <c r="A47" i="14" s="1"/>
  <c r="A68" i="14" l="1"/>
  <c r="O68" i="14"/>
  <c r="E29" i="21" l="1"/>
  <c r="E33" i="21" s="1"/>
  <c r="E35" i="21" s="1"/>
  <c r="D29" i="21" l="1"/>
  <c r="D33" i="21" s="1"/>
  <c r="D35" i="21" s="1"/>
  <c r="F29" i="21" l="1"/>
  <c r="F33" i="21" s="1"/>
  <c r="F35" i="21" s="1"/>
  <c r="E36" i="21" s="1"/>
</calcChain>
</file>

<file path=xl/sharedStrings.xml><?xml version="1.0" encoding="utf-8"?>
<sst xmlns="http://schemas.openxmlformats.org/spreadsheetml/2006/main" count="283" uniqueCount="198">
  <si>
    <t>الضمان الاجتماعي</t>
  </si>
  <si>
    <t>التسوية السنوية</t>
  </si>
  <si>
    <t>فرع نهاية الخدمة (دون حد اقصى)</t>
  </si>
  <si>
    <t>الاجور ضمن الحد الاقصى  السنوي</t>
  </si>
  <si>
    <t>الرقم</t>
  </si>
  <si>
    <t>رقم المضمون</t>
  </si>
  <si>
    <t>مدرّس :0</t>
  </si>
  <si>
    <t>الاسم والشهرة</t>
  </si>
  <si>
    <t>تاريخ بدء العمل</t>
  </si>
  <si>
    <t>تاريخ ترك العمل</t>
  </si>
  <si>
    <t>مدة العمل</t>
  </si>
  <si>
    <t xml:space="preserve">اجمالي الاجور </t>
  </si>
  <si>
    <t>الاشتراكات</t>
  </si>
  <si>
    <t xml:space="preserve">التعويضات </t>
  </si>
  <si>
    <t xml:space="preserve">المرض </t>
  </si>
  <si>
    <t>ملاحظات</t>
  </si>
  <si>
    <t>عامل:1</t>
  </si>
  <si>
    <t>يوم</t>
  </si>
  <si>
    <t>شهر</t>
  </si>
  <si>
    <t>سنة</t>
  </si>
  <si>
    <t xml:space="preserve"> السنوية</t>
  </si>
  <si>
    <t xml:space="preserve">   المتوجبة   *8.5%</t>
  </si>
  <si>
    <t xml:space="preserve">العائلية </t>
  </si>
  <si>
    <t xml:space="preserve">والامومة </t>
  </si>
  <si>
    <t>المجموع</t>
  </si>
  <si>
    <t>جانب صاحب العمل</t>
  </si>
  <si>
    <t>التعويضات العائلية</t>
  </si>
  <si>
    <t>المرض والامومة</t>
  </si>
  <si>
    <t>المجاميع</t>
  </si>
  <si>
    <t xml:space="preserve">الصندوق الوطني </t>
  </si>
  <si>
    <t>كانون الاول</t>
  </si>
  <si>
    <t>للضمان الاجتماعي</t>
  </si>
  <si>
    <t>حقل مخصص للصندوق</t>
  </si>
  <si>
    <t>طريقة دفع الاشتراكات</t>
  </si>
  <si>
    <t>المدة</t>
  </si>
  <si>
    <t>اسم المؤسسة :</t>
  </si>
  <si>
    <t>شك</t>
  </si>
  <si>
    <t>3</t>
  </si>
  <si>
    <t>تحويل مصرفي</t>
  </si>
  <si>
    <t>2</t>
  </si>
  <si>
    <t>1</t>
  </si>
  <si>
    <t>رقم المؤسسة :</t>
  </si>
  <si>
    <t>غير مدفوع</t>
  </si>
  <si>
    <t>0</t>
  </si>
  <si>
    <t>فترة</t>
  </si>
  <si>
    <t>فرع</t>
  </si>
  <si>
    <t>عدد الاجراء</t>
  </si>
  <si>
    <t>الاجور ولواحقها</t>
  </si>
  <si>
    <t>المعدل</t>
  </si>
  <si>
    <t>الاشتراكات المستحقة</t>
  </si>
  <si>
    <t>المدفوع</t>
  </si>
  <si>
    <t>الرمز</t>
  </si>
  <si>
    <t>المتوجب</t>
  </si>
  <si>
    <t>الفرع</t>
  </si>
  <si>
    <t>تعويض نهاية الخدمة</t>
  </si>
  <si>
    <t>8.5%</t>
  </si>
  <si>
    <t>مجموع الاشتراكات المستحقة</t>
  </si>
  <si>
    <t>التعويضات العائلية المدفوعة</t>
  </si>
  <si>
    <t>الزيادة المتوجبة على الصندوق/الباقي المتوجب للصندوق</t>
  </si>
  <si>
    <t>مجموع المبالغ المدفوعة</t>
  </si>
  <si>
    <t>المصفي</t>
  </si>
  <si>
    <t>المراقب</t>
  </si>
  <si>
    <t>المحاسب</t>
  </si>
  <si>
    <t>الصندوق الوطني</t>
  </si>
  <si>
    <t>التصريح الاسمي</t>
  </si>
  <si>
    <t>بناء على المادة 80 (من فقرة5) من قانون الضمان الاجتماعي المعدل بموجب المرسوم الاشتراعي رقم 73/116</t>
  </si>
  <si>
    <t>وبناء على نظام الاشتراكات لدى الصندوق</t>
  </si>
  <si>
    <t>ندعوكم الى كشف المعلومات المطلوبة ادناه واعادة هذا التصريح والجدول الملحق به مع المعلومات المطلوبة ودفع</t>
  </si>
  <si>
    <r>
      <t xml:space="preserve">الرصيد المتوجب خلال مهلة اقصاها </t>
    </r>
    <r>
      <rPr>
        <b/>
        <sz val="11"/>
        <rFont val="Arial"/>
        <family val="2"/>
      </rPr>
      <t>31 اذار</t>
    </r>
  </si>
  <si>
    <t>(أ)</t>
  </si>
  <si>
    <t>مراجعة الاجور التي دفعت عنها الاشتراكات خلال السنة:</t>
  </si>
  <si>
    <t>فرع نهاية الخدمة</t>
  </si>
  <si>
    <t>فرع التعويضات العائلية</t>
  </si>
  <si>
    <t>فرع المرض والامومة</t>
  </si>
  <si>
    <t>كانون الثاني</t>
  </si>
  <si>
    <t>شباط</t>
  </si>
  <si>
    <t>اذار</t>
  </si>
  <si>
    <t>نيسان</t>
  </si>
  <si>
    <t>ايار</t>
  </si>
  <si>
    <t>حزيران</t>
  </si>
  <si>
    <t>تموز</t>
  </si>
  <si>
    <t>اب</t>
  </si>
  <si>
    <t>ايلول</t>
  </si>
  <si>
    <t>المصفي :</t>
  </si>
  <si>
    <t>...............................</t>
  </si>
  <si>
    <t>تشرين الاول</t>
  </si>
  <si>
    <t>المراقب :</t>
  </si>
  <si>
    <t>تشرين الثاني</t>
  </si>
  <si>
    <t>المحاسب :</t>
  </si>
  <si>
    <t>فروقات</t>
  </si>
  <si>
    <t>(حقل 1)</t>
  </si>
  <si>
    <t>(حقل 2)</t>
  </si>
  <si>
    <t>(حقل 3)</t>
  </si>
  <si>
    <t>(ب)</t>
  </si>
  <si>
    <t>اشتراكات التسوية السنوية المتوجب تسديدها</t>
  </si>
  <si>
    <t>مجموع الاجور وفقا للجدول الملحق بهذا التصريح</t>
  </si>
  <si>
    <t>ناقص</t>
  </si>
  <si>
    <t>(حقل 4)</t>
  </si>
  <si>
    <t>(حقل 5)</t>
  </si>
  <si>
    <t>(حقل 6)</t>
  </si>
  <si>
    <t>مجموع الاجور كما هو مبين في الحقل (أ) اعلاه</t>
  </si>
  <si>
    <t>يساوي</t>
  </si>
  <si>
    <t>اجور التسوية</t>
  </si>
  <si>
    <t>مجموع اشتراكات التسوية المتوجب دفعها</t>
  </si>
  <si>
    <t>(ج)</t>
  </si>
  <si>
    <t>مطبوعة ملحقة بالتصريح الاسمي السنوي</t>
  </si>
  <si>
    <t>انا الموقع ادناه  :</t>
  </si>
  <si>
    <t>بصفتي :</t>
  </si>
  <si>
    <t xml:space="preserve">اشهد ان جميع المعلومات التي اعطيتها على هذا التصريح والجدول الملحق به ، مطابقة للحقيقة بعد اجراء جميع التصحيحات </t>
  </si>
  <si>
    <t>والتعديلات والاضافات اللازمة على الجدول الملحق المذكور.</t>
  </si>
  <si>
    <t>في  :</t>
  </si>
  <si>
    <t>ختم المدرسة</t>
  </si>
  <si>
    <t>التوقيع</t>
  </si>
  <si>
    <t>cnss 351</t>
  </si>
  <si>
    <t>يتوجب اعادة هذا الجدول مع جدول التصريح الاسمي السنوي المرفق</t>
  </si>
  <si>
    <t>………...………</t>
  </si>
  <si>
    <t>ملاحظة هامة:</t>
  </si>
  <si>
    <t>توقيع وختم رب العمل</t>
  </si>
  <si>
    <t>ــــــــــــــــــــــــــــ  في  ـــــــــــــــــــــــ 20</t>
  </si>
  <si>
    <t>زيادات التأخير</t>
  </si>
  <si>
    <t>الاشتراكات المدفوعة</t>
  </si>
  <si>
    <t>نقدًا</t>
  </si>
  <si>
    <t>فصلية</t>
  </si>
  <si>
    <t>شهرية</t>
  </si>
  <si>
    <t>مؤسسة</t>
  </si>
  <si>
    <t>الصفحة</t>
  </si>
  <si>
    <t>حقل مخصص لأرباب العمل</t>
  </si>
  <si>
    <t>والمتوجب دفعها حتى تاريخ</t>
  </si>
  <si>
    <t xml:space="preserve">جدول الاشتراكات المتوجبة والناتجة عن الفقرة      50    لسنة    </t>
  </si>
  <si>
    <t>جدول الاشتراكات المتوجبة والناتجة عن التصريح الإسمي السنوي لعام</t>
  </si>
  <si>
    <t xml:space="preserve">لسنة : </t>
  </si>
  <si>
    <t>مسؤولة عن الضمان الاجتماعي</t>
  </si>
  <si>
    <t>7878093</t>
  </si>
  <si>
    <t>943989</t>
  </si>
  <si>
    <t>1984</t>
  </si>
  <si>
    <t>1948</t>
  </si>
  <si>
    <t>1962</t>
  </si>
  <si>
    <t>1969</t>
  </si>
  <si>
    <t>1976</t>
  </si>
  <si>
    <t>1978</t>
  </si>
  <si>
    <t>1990</t>
  </si>
  <si>
    <t>1960</t>
  </si>
  <si>
    <t>1966</t>
  </si>
  <si>
    <t>1965</t>
  </si>
  <si>
    <t>1967</t>
  </si>
  <si>
    <t>1964</t>
  </si>
  <si>
    <t>1975</t>
  </si>
  <si>
    <t>1972</t>
  </si>
  <si>
    <t>1982</t>
  </si>
  <si>
    <t>1981</t>
  </si>
  <si>
    <t>حنا لطف الله ابي عكر</t>
  </si>
  <si>
    <t>عايده يوسف طنوس</t>
  </si>
  <si>
    <t>رمون وديع روكس داموري</t>
  </si>
  <si>
    <t>اسكندر منير عبود</t>
  </si>
  <si>
    <t>اندريه يوسف مراد</t>
  </si>
  <si>
    <t>ريتا خليل بو خليل</t>
  </si>
  <si>
    <t>ميشلين جورج يونس</t>
  </si>
  <si>
    <t>طانيوس جرجس القزي</t>
  </si>
  <si>
    <t>انطوان جورج دايخ</t>
  </si>
  <si>
    <t>دنيا جرجس القزي</t>
  </si>
  <si>
    <t>ندى ميلاد ابو خليل</t>
  </si>
  <si>
    <t>الين فكتور ناكوزي</t>
  </si>
  <si>
    <t>ليلى جرجس قمير</t>
  </si>
  <si>
    <t>ريما كرم الكركي</t>
  </si>
  <si>
    <t>زاهيه اميل الحاج</t>
  </si>
  <si>
    <t>الين شربل منصور</t>
  </si>
  <si>
    <t>دنيا شاهين فلفلي</t>
  </si>
  <si>
    <t>رامونا ريمون الاسمر</t>
  </si>
  <si>
    <t>شربل انطوان راجحة</t>
  </si>
  <si>
    <t>1986</t>
  </si>
  <si>
    <t>1987</t>
  </si>
  <si>
    <t>1992</t>
  </si>
  <si>
    <t>1989</t>
  </si>
  <si>
    <t>1996</t>
  </si>
  <si>
    <t>1971</t>
  </si>
  <si>
    <t>1997</t>
  </si>
  <si>
    <t>1999</t>
  </si>
  <si>
    <t>2001</t>
  </si>
  <si>
    <t>2000</t>
  </si>
  <si>
    <t>2003</t>
  </si>
  <si>
    <t>انطوان ديب الحاج</t>
  </si>
  <si>
    <t>فادي ريمون المدور</t>
  </si>
  <si>
    <t>غيتا جريس العلم</t>
  </si>
  <si>
    <t>نتالي شربل قنصل</t>
  </si>
  <si>
    <t>برنار رزق الله زغيب</t>
  </si>
  <si>
    <t>كريستينا بشاره مهاوج</t>
  </si>
  <si>
    <t>كريستل ميشال الشختوره</t>
  </si>
  <si>
    <t>راف بيار عاصي</t>
  </si>
  <si>
    <t>جيما ريمون عبود</t>
  </si>
  <si>
    <t>برلا انطوان نمور</t>
  </si>
  <si>
    <t>خطار خليل معلوف</t>
  </si>
  <si>
    <t>ريتا انطوان بجاني</t>
  </si>
  <si>
    <t>مارسيلا جورج داود</t>
  </si>
  <si>
    <t>مارغريتا مارون بو نصار</t>
  </si>
  <si>
    <t>ماريا شربل الخوري</t>
  </si>
  <si>
    <t>شربل نبيل مرعي</t>
  </si>
  <si>
    <t xml:space="preserve">مايا عبد الله ابي حبيب </t>
  </si>
  <si>
    <t>ربيكا ميا جان الحداد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</si>
</sst>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5" x14ac:knownFonts="1">
    <font>
      <sz val="14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u val="singleAccounting"/>
      <sz val="10"/>
      <name val="Arial"/>
      <family val="2"/>
    </font>
    <font>
      <sz val="11"/>
      <name val="Arabic Transparent"/>
      <charset val="178"/>
    </font>
    <font>
      <sz val="10"/>
      <name val="Arabic Transparent"/>
      <charset val="178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5" fillId="0" borderId="0"/>
  </cellStyleXfs>
  <cellXfs count="430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6" fillId="0" borderId="0" xfId="0" applyFont="1"/>
    <xf numFmtId="10" fontId="11" fillId="0" borderId="0" xfId="0" applyNumberFormat="1" applyFont="1"/>
    <xf numFmtId="9" fontId="11" fillId="0" borderId="0" xfId="0" applyNumberFormat="1" applyFont="1"/>
    <xf numFmtId="0" fontId="9" fillId="0" borderId="0" xfId="0" applyFont="1"/>
    <xf numFmtId="0" fontId="9" fillId="0" borderId="2" xfId="0" applyFont="1" applyBorder="1" applyAlignment="1">
      <alignment horizontal="center"/>
    </xf>
    <xf numFmtId="0" fontId="12" fillId="0" borderId="2" xfId="0" applyFont="1" applyBorder="1"/>
    <xf numFmtId="0" fontId="9" fillId="0" borderId="2" xfId="0" applyFont="1" applyBorder="1"/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0" fillId="0" borderId="2" xfId="0" applyFont="1" applyBorder="1"/>
    <xf numFmtId="0" fontId="8" fillId="0" borderId="0" xfId="0" applyFont="1" applyAlignment="1">
      <alignment horizontal="center"/>
    </xf>
    <xf numFmtId="10" fontId="6" fillId="0" borderId="2" xfId="0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3" fontId="6" fillId="3" borderId="8" xfId="0" applyNumberFormat="1" applyFont="1" applyFill="1" applyBorder="1" applyAlignment="1">
      <alignment horizontal="center"/>
    </xf>
    <xf numFmtId="0" fontId="0" fillId="3" borderId="0" xfId="0" applyFill="1"/>
    <xf numFmtId="0" fontId="6" fillId="3" borderId="0" xfId="0" applyFont="1" applyFill="1"/>
    <xf numFmtId="0" fontId="6" fillId="3" borderId="0" xfId="0" applyFont="1" applyFill="1" applyAlignment="1">
      <alignment vertical="center" readingOrder="2"/>
    </xf>
    <xf numFmtId="0" fontId="14" fillId="0" borderId="0" xfId="0" applyFont="1" applyAlignment="1">
      <alignment readingOrder="2"/>
    </xf>
    <xf numFmtId="0" fontId="14" fillId="0" borderId="2" xfId="0" applyFont="1" applyBorder="1" applyAlignment="1">
      <alignment readingOrder="2"/>
    </xf>
    <xf numFmtId="0" fontId="11" fillId="0" borderId="0" xfId="0" applyFont="1" applyAlignment="1">
      <alignment readingOrder="2"/>
    </xf>
    <xf numFmtId="0" fontId="6" fillId="0" borderId="0" xfId="0" applyFont="1" applyAlignment="1">
      <alignment readingOrder="2"/>
    </xf>
    <xf numFmtId="0" fontId="17" fillId="0" borderId="18" xfId="0" applyFont="1" applyBorder="1" applyAlignment="1">
      <alignment readingOrder="2"/>
    </xf>
    <xf numFmtId="0" fontId="11" fillId="2" borderId="2" xfId="0" applyFont="1" applyFill="1" applyBorder="1" applyAlignment="1">
      <alignment readingOrder="2"/>
    </xf>
    <xf numFmtId="0" fontId="11" fillId="0" borderId="8" xfId="0" applyFont="1" applyBorder="1" applyAlignment="1">
      <alignment readingOrder="2"/>
    </xf>
    <xf numFmtId="0" fontId="10" fillId="0" borderId="0" xfId="0" applyFont="1" applyAlignment="1">
      <alignment readingOrder="2"/>
    </xf>
    <xf numFmtId="0" fontId="10" fillId="0" borderId="2" xfId="0" applyFont="1" applyBorder="1" applyAlignment="1">
      <alignment readingOrder="2"/>
    </xf>
    <xf numFmtId="0" fontId="10" fillId="3" borderId="20" xfId="0" applyFont="1" applyFill="1" applyBorder="1" applyAlignment="1">
      <alignment readingOrder="2"/>
    </xf>
    <xf numFmtId="0" fontId="10" fillId="3" borderId="21" xfId="0" applyFont="1" applyFill="1" applyBorder="1" applyAlignment="1">
      <alignment readingOrder="2"/>
    </xf>
    <xf numFmtId="0" fontId="17" fillId="3" borderId="25" xfId="0" applyFont="1" applyFill="1" applyBorder="1" applyAlignment="1">
      <alignment readingOrder="2"/>
    </xf>
    <xf numFmtId="0" fontId="11" fillId="3" borderId="7" xfId="0" applyFont="1" applyFill="1" applyBorder="1" applyAlignment="1">
      <alignment readingOrder="2"/>
    </xf>
    <xf numFmtId="0" fontId="11" fillId="3" borderId="6" xfId="0" applyFont="1" applyFill="1" applyBorder="1" applyAlignment="1">
      <alignment readingOrder="2"/>
    </xf>
    <xf numFmtId="0" fontId="11" fillId="3" borderId="5" xfId="0" applyFont="1" applyFill="1" applyBorder="1" applyAlignment="1">
      <alignment readingOrder="2"/>
    </xf>
    <xf numFmtId="0" fontId="11" fillId="3" borderId="26" xfId="0" applyFont="1" applyFill="1" applyBorder="1" applyAlignment="1">
      <alignment readingOrder="2"/>
    </xf>
    <xf numFmtId="0" fontId="11" fillId="3" borderId="17" xfId="0" applyFont="1" applyFill="1" applyBorder="1" applyAlignment="1">
      <alignment readingOrder="2"/>
    </xf>
    <xf numFmtId="0" fontId="11" fillId="3" borderId="25" xfId="0" applyFont="1" applyFill="1" applyBorder="1" applyAlignment="1">
      <alignment readingOrder="2"/>
    </xf>
    <xf numFmtId="0" fontId="18" fillId="3" borderId="0" xfId="0" applyFont="1" applyFill="1" applyAlignment="1">
      <alignment readingOrder="2"/>
    </xf>
    <xf numFmtId="0" fontId="18" fillId="3" borderId="0" xfId="0" applyFont="1" applyFill="1" applyAlignment="1">
      <alignment horizontal="center" readingOrder="2"/>
    </xf>
    <xf numFmtId="0" fontId="11" fillId="3" borderId="8" xfId="0" applyFont="1" applyFill="1" applyBorder="1" applyAlignment="1">
      <alignment readingOrder="2"/>
    </xf>
    <xf numFmtId="0" fontId="11" fillId="3" borderId="2" xfId="0" applyFont="1" applyFill="1" applyBorder="1" applyAlignment="1">
      <alignment readingOrder="2"/>
    </xf>
    <xf numFmtId="0" fontId="11" fillId="3" borderId="3" xfId="0" applyFont="1" applyFill="1" applyBorder="1" applyAlignment="1">
      <alignment readingOrder="2"/>
    </xf>
    <xf numFmtId="0" fontId="11" fillId="3" borderId="11" xfId="0" applyFont="1" applyFill="1" applyBorder="1" applyAlignment="1">
      <alignment readingOrder="2"/>
    </xf>
    <xf numFmtId="0" fontId="18" fillId="3" borderId="8" xfId="0" applyFont="1" applyFill="1" applyBorder="1" applyAlignment="1">
      <alignment horizontal="center" readingOrder="2"/>
    </xf>
    <xf numFmtId="0" fontId="11" fillId="3" borderId="0" xfId="0" applyFont="1" applyFill="1" applyAlignment="1">
      <alignment textRotation="90" wrapText="1" readingOrder="2"/>
    </xf>
    <xf numFmtId="0" fontId="18" fillId="3" borderId="8" xfId="0" applyFont="1" applyFill="1" applyBorder="1" applyAlignment="1">
      <alignment readingOrder="2"/>
    </xf>
    <xf numFmtId="0" fontId="18" fillId="3" borderId="30" xfId="0" applyFont="1" applyFill="1" applyBorder="1" applyAlignment="1">
      <alignment readingOrder="2"/>
    </xf>
    <xf numFmtId="0" fontId="11" fillId="3" borderId="31" xfId="0" applyFont="1" applyFill="1" applyBorder="1" applyAlignment="1">
      <alignment readingOrder="2"/>
    </xf>
    <xf numFmtId="0" fontId="18" fillId="3" borderId="17" xfId="0" applyFont="1" applyFill="1" applyBorder="1" applyAlignment="1">
      <alignment readingOrder="2"/>
    </xf>
    <xf numFmtId="0" fontId="18" fillId="3" borderId="6" xfId="0" applyFont="1" applyFill="1" applyBorder="1" applyAlignment="1">
      <alignment readingOrder="2"/>
    </xf>
    <xf numFmtId="0" fontId="11" fillId="3" borderId="18" xfId="0" applyFont="1" applyFill="1" applyBorder="1" applyAlignment="1">
      <alignment readingOrder="2"/>
    </xf>
    <xf numFmtId="0" fontId="11" fillId="3" borderId="13" xfId="0" applyFont="1" applyFill="1" applyBorder="1" applyAlignment="1">
      <alignment readingOrder="2"/>
    </xf>
    <xf numFmtId="0" fontId="11" fillId="3" borderId="32" xfId="0" applyFont="1" applyFill="1" applyBorder="1" applyAlignment="1">
      <alignment readingOrder="2"/>
    </xf>
    <xf numFmtId="0" fontId="17" fillId="3" borderId="28" xfId="0" applyFont="1" applyFill="1" applyBorder="1" applyAlignment="1">
      <alignment readingOrder="2"/>
    </xf>
    <xf numFmtId="0" fontId="14" fillId="0" borderId="8" xfId="0" applyFont="1" applyBorder="1" applyAlignment="1">
      <alignment readingOrder="2"/>
    </xf>
    <xf numFmtId="0" fontId="11" fillId="3" borderId="29" xfId="0" applyFont="1" applyFill="1" applyBorder="1" applyAlignment="1">
      <alignment readingOrder="2"/>
    </xf>
    <xf numFmtId="9" fontId="11" fillId="3" borderId="6" xfId="0" applyNumberFormat="1" applyFont="1" applyFill="1" applyBorder="1" applyAlignment="1">
      <alignment readingOrder="2"/>
    </xf>
    <xf numFmtId="0" fontId="20" fillId="0" borderId="6" xfId="0" applyFont="1" applyBorder="1"/>
    <xf numFmtId="9" fontId="11" fillId="3" borderId="6" xfId="0" applyNumberFormat="1" applyFont="1" applyFill="1" applyBorder="1"/>
    <xf numFmtId="9" fontId="11" fillId="3" borderId="7" xfId="0" applyNumberFormat="1" applyFont="1" applyFill="1" applyBorder="1"/>
    <xf numFmtId="0" fontId="11" fillId="3" borderId="6" xfId="0" applyFont="1" applyFill="1" applyBorder="1" applyAlignment="1">
      <alignment wrapText="1" readingOrder="2"/>
    </xf>
    <xf numFmtId="0" fontId="18" fillId="3" borderId="23" xfId="0" applyFont="1" applyFill="1" applyBorder="1" applyAlignment="1">
      <alignment readingOrder="2"/>
    </xf>
    <xf numFmtId="0" fontId="11" fillId="3" borderId="24" xfId="0" applyFont="1" applyFill="1" applyBorder="1" applyAlignment="1">
      <alignment readingOrder="2"/>
    </xf>
    <xf numFmtId="9" fontId="11" fillId="3" borderId="4" xfId="0" applyNumberFormat="1" applyFont="1" applyFill="1" applyBorder="1" applyAlignment="1">
      <alignment readingOrder="2"/>
    </xf>
    <xf numFmtId="9" fontId="11" fillId="3" borderId="0" xfId="0" applyNumberFormat="1" applyFont="1" applyFill="1" applyAlignment="1">
      <alignment readingOrder="2"/>
    </xf>
    <xf numFmtId="9" fontId="11" fillId="3" borderId="17" xfId="0" applyNumberFormat="1" applyFont="1" applyFill="1" applyBorder="1" applyAlignment="1">
      <alignment readingOrder="2"/>
    </xf>
    <xf numFmtId="9" fontId="11" fillId="3" borderId="0" xfId="0" applyNumberFormat="1" applyFont="1" applyFill="1"/>
    <xf numFmtId="0" fontId="11" fillId="3" borderId="34" xfId="0" applyFont="1" applyFill="1" applyBorder="1" applyAlignment="1">
      <alignment readingOrder="2"/>
    </xf>
    <xf numFmtId="9" fontId="11" fillId="3" borderId="34" xfId="0" applyNumberFormat="1" applyFont="1" applyFill="1" applyBorder="1" applyAlignment="1">
      <alignment readingOrder="2"/>
    </xf>
    <xf numFmtId="0" fontId="18" fillId="3" borderId="35" xfId="0" applyFont="1" applyFill="1" applyBorder="1" applyAlignment="1">
      <alignment readingOrder="2"/>
    </xf>
    <xf numFmtId="9" fontId="11" fillId="3" borderId="2" xfId="0" applyNumberFormat="1" applyFont="1" applyFill="1" applyBorder="1"/>
    <xf numFmtId="0" fontId="10" fillId="3" borderId="0" xfId="0" applyFont="1" applyFill="1" applyAlignment="1">
      <alignment readingOrder="2"/>
    </xf>
    <xf numFmtId="9" fontId="10" fillId="3" borderId="0" xfId="0" applyNumberFormat="1" applyFont="1" applyFill="1" applyAlignment="1">
      <alignment horizontal="center" readingOrder="2"/>
    </xf>
    <xf numFmtId="9" fontId="11" fillId="3" borderId="3" xfId="0" applyNumberFormat="1" applyFont="1" applyFill="1" applyBorder="1"/>
    <xf numFmtId="9" fontId="11" fillId="3" borderId="4" xfId="0" applyNumberFormat="1" applyFont="1" applyFill="1" applyBorder="1"/>
    <xf numFmtId="0" fontId="7" fillId="3" borderId="7" xfId="0" applyFont="1" applyFill="1" applyBorder="1" applyAlignment="1">
      <alignment readingOrder="2"/>
    </xf>
    <xf numFmtId="0" fontId="7" fillId="3" borderId="8" xfId="0" applyFont="1" applyFill="1" applyBorder="1" applyAlignment="1">
      <alignment horizontal="left" readingOrder="2"/>
    </xf>
    <xf numFmtId="0" fontId="7" fillId="3" borderId="11" xfId="0" applyFont="1" applyFill="1" applyBorder="1" applyAlignment="1">
      <alignment readingOrder="2"/>
    </xf>
    <xf numFmtId="0" fontId="7" fillId="3" borderId="8" xfId="0" applyFont="1" applyFill="1" applyBorder="1" applyAlignment="1">
      <alignment readingOrder="2"/>
    </xf>
    <xf numFmtId="0" fontId="7" fillId="3" borderId="4" xfId="0" applyFont="1" applyFill="1" applyBorder="1" applyAlignment="1">
      <alignment horizontal="center" readingOrder="2"/>
    </xf>
    <xf numFmtId="0" fontId="11" fillId="3" borderId="0" xfId="0" applyFont="1" applyFill="1" applyAlignment="1">
      <alignment wrapText="1" readingOrder="2"/>
    </xf>
    <xf numFmtId="0" fontId="18" fillId="3" borderId="25" xfId="0" applyFont="1" applyFill="1" applyBorder="1" applyAlignment="1">
      <alignment readingOrder="2"/>
    </xf>
    <xf numFmtId="9" fontId="11" fillId="3" borderId="36" xfId="0" applyNumberFormat="1" applyFont="1" applyFill="1" applyBorder="1"/>
    <xf numFmtId="0" fontId="16" fillId="3" borderId="0" xfId="0" applyFont="1" applyFill="1" applyAlignment="1">
      <alignment readingOrder="2"/>
    </xf>
    <xf numFmtId="9" fontId="16" fillId="3" borderId="0" xfId="0" applyNumberFormat="1" applyFont="1" applyFill="1" applyAlignment="1">
      <alignment readingOrder="2"/>
    </xf>
    <xf numFmtId="0" fontId="14" fillId="0" borderId="16" xfId="0" applyFont="1" applyBorder="1" applyAlignment="1">
      <alignment readingOrder="2"/>
    </xf>
    <xf numFmtId="0" fontId="14" fillId="3" borderId="0" xfId="0" applyFont="1" applyFill="1" applyAlignment="1">
      <alignment readingOrder="2"/>
    </xf>
    <xf numFmtId="0" fontId="15" fillId="3" borderId="0" xfId="0" applyFont="1" applyFill="1" applyAlignment="1">
      <alignment readingOrder="2"/>
    </xf>
    <xf numFmtId="0" fontId="10" fillId="3" borderId="0" xfId="0" applyFont="1" applyFill="1" applyAlignment="1">
      <alignment horizontal="center" readingOrder="2"/>
    </xf>
    <xf numFmtId="0" fontId="11" fillId="3" borderId="4" xfId="0" applyFont="1" applyFill="1" applyBorder="1" applyAlignment="1">
      <alignment readingOrder="2"/>
    </xf>
    <xf numFmtId="0" fontId="9" fillId="3" borderId="2" xfId="0" applyFont="1" applyFill="1" applyBorder="1"/>
    <xf numFmtId="9" fontId="11" fillId="3" borderId="8" xfId="0" applyNumberFormat="1" applyFont="1" applyFill="1" applyBorder="1"/>
    <xf numFmtId="9" fontId="10" fillId="3" borderId="0" xfId="0" applyNumberFormat="1" applyFont="1" applyFill="1"/>
    <xf numFmtId="0" fontId="11" fillId="3" borderId="0" xfId="0" applyFont="1" applyFill="1" applyAlignment="1">
      <alignment readingOrder="2"/>
    </xf>
    <xf numFmtId="0" fontId="15" fillId="3" borderId="0" xfId="0" applyFont="1" applyFill="1" applyAlignment="1">
      <alignment horizontal="center" readingOrder="2"/>
    </xf>
    <xf numFmtId="0" fontId="6" fillId="3" borderId="0" xfId="0" applyFont="1" applyFill="1" applyAlignment="1">
      <alignment horizontal="center" readingOrder="2"/>
    </xf>
    <xf numFmtId="0" fontId="14" fillId="3" borderId="0" xfId="0" applyFont="1" applyFill="1" applyAlignment="1">
      <alignment horizontal="center" readingOrder="2"/>
    </xf>
    <xf numFmtId="0" fontId="11" fillId="3" borderId="17" xfId="0" applyFont="1" applyFill="1" applyBorder="1" applyAlignment="1">
      <alignment horizontal="center" readingOrder="2"/>
    </xf>
    <xf numFmtId="0" fontId="11" fillId="3" borderId="8" xfId="0" applyFont="1" applyFill="1" applyBorder="1" applyAlignment="1">
      <alignment horizontal="center" vertical="center" readingOrder="2"/>
    </xf>
    <xf numFmtId="0" fontId="6" fillId="3" borderId="0" xfId="0" applyFont="1" applyFill="1" applyAlignment="1">
      <alignment horizontal="right"/>
    </xf>
    <xf numFmtId="0" fontId="11" fillId="3" borderId="3" xfId="0" applyFont="1" applyFill="1" applyBorder="1" applyAlignment="1">
      <alignment horizontal="center" vertical="center" readingOrder="2"/>
    </xf>
    <xf numFmtId="0" fontId="11" fillId="3" borderId="0" xfId="0" applyFont="1" applyFill="1" applyAlignment="1">
      <alignment horizontal="center" vertical="center" readingOrder="2"/>
    </xf>
    <xf numFmtId="165" fontId="10" fillId="3" borderId="19" xfId="1" applyNumberFormat="1" applyFont="1" applyFill="1" applyBorder="1" applyAlignment="1" applyProtection="1">
      <alignment readingOrder="2"/>
    </xf>
    <xf numFmtId="165" fontId="10" fillId="3" borderId="20" xfId="1" applyNumberFormat="1" applyFont="1" applyFill="1" applyBorder="1" applyAlignment="1" applyProtection="1">
      <alignment readingOrder="2"/>
    </xf>
    <xf numFmtId="0" fontId="10" fillId="3" borderId="20" xfId="1" applyNumberFormat="1" applyFont="1" applyFill="1" applyBorder="1" applyAlignment="1" applyProtection="1">
      <alignment readingOrder="2"/>
    </xf>
    <xf numFmtId="165" fontId="11" fillId="3" borderId="24" xfId="1" applyNumberFormat="1" applyFont="1" applyFill="1" applyBorder="1" applyAlignment="1" applyProtection="1">
      <alignment readingOrder="2"/>
    </xf>
    <xf numFmtId="165" fontId="11" fillId="3" borderId="0" xfId="1" applyNumberFormat="1" applyFont="1" applyFill="1" applyBorder="1" applyAlignment="1" applyProtection="1">
      <alignment readingOrder="2"/>
    </xf>
    <xf numFmtId="0" fontId="11" fillId="3" borderId="0" xfId="1" applyNumberFormat="1" applyFont="1" applyFill="1" applyBorder="1" applyAlignment="1" applyProtection="1">
      <alignment readingOrder="2"/>
    </xf>
    <xf numFmtId="0" fontId="6" fillId="3" borderId="25" xfId="0" applyFont="1" applyFill="1" applyBorder="1"/>
    <xf numFmtId="165" fontId="11" fillId="3" borderId="17" xfId="1" applyNumberFormat="1" applyFont="1" applyFill="1" applyBorder="1" applyAlignment="1" applyProtection="1">
      <alignment readingOrder="2"/>
    </xf>
    <xf numFmtId="0" fontId="11" fillId="0" borderId="17" xfId="0" applyFont="1" applyBorder="1" applyAlignment="1">
      <alignment readingOrder="2"/>
    </xf>
    <xf numFmtId="165" fontId="11" fillId="3" borderId="3" xfId="1" applyNumberFormat="1" applyFont="1" applyFill="1" applyBorder="1" applyAlignment="1" applyProtection="1">
      <alignment readingOrder="2"/>
    </xf>
    <xf numFmtId="165" fontId="11" fillId="3" borderId="4" xfId="1" applyNumberFormat="1" applyFont="1" applyFill="1" applyBorder="1" applyAlignment="1" applyProtection="1">
      <alignment readingOrder="2"/>
    </xf>
    <xf numFmtId="165" fontId="11" fillId="3" borderId="32" xfId="1" applyNumberFormat="1" applyFont="1" applyFill="1" applyBorder="1" applyAlignment="1" applyProtection="1">
      <alignment readingOrder="2"/>
    </xf>
    <xf numFmtId="165" fontId="11" fillId="3" borderId="13" xfId="1" applyNumberFormat="1" applyFont="1" applyFill="1" applyBorder="1" applyAlignment="1" applyProtection="1">
      <alignment readingOrder="2"/>
    </xf>
    <xf numFmtId="165" fontId="11" fillId="3" borderId="6" xfId="1" applyNumberFormat="1" applyFont="1" applyFill="1" applyBorder="1" applyAlignment="1" applyProtection="1">
      <alignment readingOrder="2"/>
    </xf>
    <xf numFmtId="165" fontId="11" fillId="3" borderId="5" xfId="1" applyNumberFormat="1" applyFont="1" applyFill="1" applyBorder="1" applyAlignment="1" applyProtection="1">
      <alignment readingOrder="2"/>
    </xf>
    <xf numFmtId="165" fontId="11" fillId="3" borderId="7" xfId="1" applyNumberFormat="1" applyFont="1" applyFill="1" applyBorder="1" applyAlignment="1" applyProtection="1">
      <alignment readingOrder="2"/>
    </xf>
    <xf numFmtId="165" fontId="11" fillId="3" borderId="1" xfId="1" applyNumberFormat="1" applyFont="1" applyFill="1" applyBorder="1" applyAlignment="1" applyProtection="1">
      <alignment readingOrder="2"/>
    </xf>
    <xf numFmtId="165" fontId="11" fillId="3" borderId="26" xfId="1" applyNumberFormat="1" applyFont="1" applyFill="1" applyBorder="1" applyAlignment="1" applyProtection="1">
      <alignment readingOrder="2"/>
    </xf>
    <xf numFmtId="165" fontId="10" fillId="3" borderId="0" xfId="1" applyNumberFormat="1" applyFont="1" applyFill="1" applyBorder="1" applyAlignment="1" applyProtection="1">
      <alignment readingOrder="2"/>
    </xf>
    <xf numFmtId="3" fontId="15" fillId="3" borderId="7" xfId="1" applyNumberFormat="1" applyFont="1" applyFill="1" applyBorder="1" applyAlignment="1" applyProtection="1">
      <alignment horizontal="center" vertical="center"/>
    </xf>
    <xf numFmtId="3" fontId="15" fillId="3" borderId="6" xfId="1" applyNumberFormat="1" applyFont="1" applyFill="1" applyBorder="1" applyAlignment="1" applyProtection="1">
      <alignment vertical="center"/>
    </xf>
    <xf numFmtId="0" fontId="11" fillId="3" borderId="6" xfId="0" applyFont="1" applyFill="1" applyBorder="1" applyAlignment="1">
      <alignment horizontal="center" readingOrder="2"/>
    </xf>
    <xf numFmtId="0" fontId="11" fillId="3" borderId="5" xfId="0" applyFont="1" applyFill="1" applyBorder="1" applyAlignment="1">
      <alignment horizontal="center" readingOrder="2"/>
    </xf>
    <xf numFmtId="3" fontId="15" fillId="3" borderId="26" xfId="1" applyNumberFormat="1" applyFont="1" applyFill="1" applyBorder="1" applyAlignment="1" applyProtection="1">
      <alignment horizontal="center" vertical="center"/>
    </xf>
    <xf numFmtId="3" fontId="15" fillId="3" borderId="17" xfId="1" applyNumberFormat="1" applyFont="1" applyFill="1" applyBorder="1" applyAlignment="1" applyProtection="1">
      <alignment vertical="center"/>
    </xf>
    <xf numFmtId="0" fontId="11" fillId="3" borderId="1" xfId="0" applyFont="1" applyFill="1" applyBorder="1" applyAlignment="1">
      <alignment horizontal="center" readingOrder="2"/>
    </xf>
    <xf numFmtId="165" fontId="11" fillId="3" borderId="2" xfId="1" applyNumberFormat="1" applyFont="1" applyFill="1" applyBorder="1" applyAlignment="1" applyProtection="1">
      <alignment readingOrder="2"/>
    </xf>
    <xf numFmtId="165" fontId="10" fillId="3" borderId="8" xfId="1" applyNumberFormat="1" applyFont="1" applyFill="1" applyBorder="1" applyAlignment="1" applyProtection="1">
      <alignment readingOrder="2"/>
    </xf>
    <xf numFmtId="3" fontId="7" fillId="3" borderId="0" xfId="1" applyNumberFormat="1" applyFont="1" applyFill="1" applyBorder="1" applyAlignment="1" applyProtection="1">
      <alignment vertical="center"/>
    </xf>
    <xf numFmtId="0" fontId="6" fillId="3" borderId="0" xfId="0" applyFont="1" applyFill="1" applyAlignment="1">
      <alignment horizontal="center" vertical="center" textRotation="90" wrapText="1" readingOrder="2"/>
    </xf>
    <xf numFmtId="0" fontId="10" fillId="3" borderId="8" xfId="0" applyFont="1" applyFill="1" applyBorder="1" applyAlignment="1">
      <alignment horizontal="center" vertical="center" readingOrder="2"/>
    </xf>
    <xf numFmtId="0" fontId="11" fillId="3" borderId="2" xfId="0" applyFont="1" applyFill="1" applyBorder="1" applyAlignment="1">
      <alignment horizontal="center" vertical="center" readingOrder="2"/>
    </xf>
    <xf numFmtId="3" fontId="15" fillId="3" borderId="7" xfId="1" applyNumberFormat="1" applyFont="1" applyFill="1" applyBorder="1" applyAlignment="1" applyProtection="1">
      <alignment vertical="center"/>
    </xf>
    <xf numFmtId="3" fontId="15" fillId="3" borderId="5" xfId="1" applyNumberFormat="1" applyFont="1" applyFill="1" applyBorder="1" applyAlignment="1" applyProtection="1">
      <alignment vertical="center"/>
    </xf>
    <xf numFmtId="3" fontId="15" fillId="3" borderId="4" xfId="1" applyNumberFormat="1" applyFont="1" applyFill="1" applyBorder="1" applyAlignment="1" applyProtection="1">
      <alignment vertical="center"/>
    </xf>
    <xf numFmtId="3" fontId="15" fillId="3" borderId="3" xfId="1" applyNumberFormat="1" applyFont="1" applyFill="1" applyBorder="1" applyAlignment="1" applyProtection="1">
      <alignment vertical="center"/>
    </xf>
    <xf numFmtId="3" fontId="15" fillId="3" borderId="0" xfId="1" applyNumberFormat="1" applyFont="1" applyFill="1" applyBorder="1" applyAlignment="1" applyProtection="1">
      <alignment vertical="center"/>
    </xf>
    <xf numFmtId="3" fontId="15" fillId="3" borderId="26" xfId="1" applyNumberFormat="1" applyFont="1" applyFill="1" applyBorder="1" applyAlignment="1" applyProtection="1">
      <alignment vertical="center"/>
    </xf>
    <xf numFmtId="3" fontId="15" fillId="3" borderId="1" xfId="1" applyNumberFormat="1" applyFont="1" applyFill="1" applyBorder="1" applyAlignment="1" applyProtection="1">
      <alignment vertical="center"/>
    </xf>
    <xf numFmtId="165" fontId="11" fillId="3" borderId="29" xfId="1" applyNumberFormat="1" applyFont="1" applyFill="1" applyBorder="1" applyAlignment="1" applyProtection="1">
      <alignment readingOrder="2"/>
    </xf>
    <xf numFmtId="165" fontId="11" fillId="3" borderId="8" xfId="1" applyNumberFormat="1" applyFont="1" applyFill="1" applyBorder="1" applyAlignment="1" applyProtection="1">
      <alignment readingOrder="2"/>
    </xf>
    <xf numFmtId="165" fontId="11" fillId="3" borderId="11" xfId="1" applyNumberFormat="1" applyFont="1" applyFill="1" applyBorder="1" applyAlignment="1" applyProtection="1">
      <alignment readingOrder="2"/>
    </xf>
    <xf numFmtId="9" fontId="15" fillId="3" borderId="7" xfId="0" applyNumberFormat="1" applyFont="1" applyFill="1" applyBorder="1" applyAlignment="1">
      <alignment vertical="center" readingOrder="2"/>
    </xf>
    <xf numFmtId="9" fontId="15" fillId="3" borderId="6" xfId="0" applyNumberFormat="1" applyFont="1" applyFill="1" applyBorder="1" applyAlignment="1">
      <alignment vertical="center" readingOrder="2"/>
    </xf>
    <xf numFmtId="9" fontId="15" fillId="3" borderId="5" xfId="0" applyNumberFormat="1" applyFont="1" applyFill="1" applyBorder="1" applyAlignment="1">
      <alignment vertical="center" readingOrder="2"/>
    </xf>
    <xf numFmtId="165" fontId="15" fillId="3" borderId="7" xfId="1" applyNumberFormat="1" applyFont="1" applyFill="1" applyBorder="1" applyAlignment="1" applyProtection="1">
      <alignment readingOrder="2"/>
    </xf>
    <xf numFmtId="165" fontId="15" fillId="3" borderId="5" xfId="1" applyNumberFormat="1" applyFont="1" applyFill="1" applyBorder="1" applyAlignment="1" applyProtection="1">
      <alignment readingOrder="2"/>
    </xf>
    <xf numFmtId="9" fontId="15" fillId="3" borderId="4" xfId="0" applyNumberFormat="1" applyFont="1" applyFill="1" applyBorder="1" applyAlignment="1">
      <alignment vertical="center" readingOrder="2"/>
    </xf>
    <xf numFmtId="9" fontId="15" fillId="3" borderId="0" xfId="0" applyNumberFormat="1" applyFont="1" applyFill="1" applyAlignment="1">
      <alignment vertical="center" readingOrder="2"/>
    </xf>
    <xf numFmtId="9" fontId="15" fillId="3" borderId="3" xfId="0" applyNumberFormat="1" applyFont="1" applyFill="1" applyBorder="1" applyAlignment="1">
      <alignment vertical="center" readingOrder="2"/>
    </xf>
    <xf numFmtId="0" fontId="10" fillId="3" borderId="3" xfId="0" applyFont="1" applyFill="1" applyBorder="1" applyAlignment="1">
      <alignment readingOrder="2"/>
    </xf>
    <xf numFmtId="0" fontId="10" fillId="3" borderId="5" xfId="0" applyFont="1" applyFill="1" applyBorder="1" applyAlignment="1">
      <alignment horizontal="center" vertical="center" readingOrder="2"/>
    </xf>
    <xf numFmtId="165" fontId="18" fillId="3" borderId="0" xfId="1" applyNumberFormat="1" applyFont="1" applyFill="1" applyBorder="1" applyAlignment="1" applyProtection="1">
      <alignment readingOrder="2"/>
    </xf>
    <xf numFmtId="9" fontId="15" fillId="3" borderId="26" xfId="0" applyNumberFormat="1" applyFont="1" applyFill="1" applyBorder="1" applyAlignment="1">
      <alignment vertical="center" readingOrder="2"/>
    </xf>
    <xf numFmtId="9" fontId="15" fillId="3" borderId="17" xfId="0" applyNumberFormat="1" applyFont="1" applyFill="1" applyBorder="1" applyAlignment="1">
      <alignment vertical="center" readingOrder="2"/>
    </xf>
    <xf numFmtId="9" fontId="15" fillId="3" borderId="1" xfId="0" applyNumberFormat="1" applyFont="1" applyFill="1" applyBorder="1" applyAlignment="1">
      <alignment vertical="center" readingOrder="2"/>
    </xf>
    <xf numFmtId="165" fontId="10" fillId="3" borderId="33" xfId="1" applyNumberFormat="1" applyFont="1" applyFill="1" applyBorder="1" applyAlignment="1" applyProtection="1">
      <alignment readingOrder="2"/>
    </xf>
    <xf numFmtId="165" fontId="11" fillId="3" borderId="33" xfId="1" applyNumberFormat="1" applyFont="1" applyFill="1" applyBorder="1" applyAlignment="1" applyProtection="1">
      <alignment readingOrder="2"/>
    </xf>
    <xf numFmtId="9" fontId="11" fillId="3" borderId="7" xfId="0" applyNumberFormat="1" applyFont="1" applyFill="1" applyBorder="1" applyAlignment="1">
      <alignment readingOrder="2"/>
    </xf>
    <xf numFmtId="9" fontId="11" fillId="3" borderId="31" xfId="0" applyNumberFormat="1" applyFont="1" applyFill="1" applyBorder="1"/>
    <xf numFmtId="0" fontId="7" fillId="3" borderId="0" xfId="0" applyFont="1" applyFill="1" applyAlignment="1">
      <alignment readingOrder="2"/>
    </xf>
    <xf numFmtId="0" fontId="15" fillId="3" borderId="0" xfId="0" applyFont="1" applyFill="1" applyAlignment="1">
      <alignment horizontal="right" readingOrder="2"/>
    </xf>
    <xf numFmtId="0" fontId="6" fillId="3" borderId="0" xfId="0" applyFont="1" applyFill="1" applyAlignment="1">
      <alignment vertical="distributed" readingOrder="2"/>
    </xf>
    <xf numFmtId="0" fontId="6" fillId="3" borderId="3" xfId="0" applyFont="1" applyFill="1" applyBorder="1" applyAlignment="1">
      <alignment vertical="distributed" readingOrder="2"/>
    </xf>
    <xf numFmtId="0" fontId="15" fillId="3" borderId="0" xfId="0" applyFont="1" applyFill="1" applyAlignment="1">
      <alignment wrapText="1" readingOrder="2"/>
    </xf>
    <xf numFmtId="0" fontId="6" fillId="3" borderId="24" xfId="0" applyFont="1" applyFill="1" applyBorder="1" applyAlignment="1">
      <alignment vertical="distributed" readingOrder="2"/>
    </xf>
    <xf numFmtId="9" fontId="11" fillId="3" borderId="26" xfId="0" applyNumberFormat="1" applyFont="1" applyFill="1" applyBorder="1" applyAlignment="1">
      <alignment readingOrder="2"/>
    </xf>
    <xf numFmtId="0" fontId="6" fillId="3" borderId="2" xfId="0" applyFont="1" applyFill="1" applyBorder="1" applyAlignment="1">
      <alignment vertical="distributed" readingOrder="2"/>
    </xf>
    <xf numFmtId="9" fontId="11" fillId="3" borderId="5" xfId="0" applyNumberFormat="1" applyFont="1" applyFill="1" applyBorder="1"/>
    <xf numFmtId="0" fontId="14" fillId="3" borderId="24" xfId="0" applyFont="1" applyFill="1" applyBorder="1" applyAlignment="1">
      <alignment horizontal="center" readingOrder="2"/>
    </xf>
    <xf numFmtId="0" fontId="14" fillId="3" borderId="26" xfId="0" applyFont="1" applyFill="1" applyBorder="1" applyAlignment="1">
      <alignment horizontal="center" readingOrder="2"/>
    </xf>
    <xf numFmtId="0" fontId="14" fillId="3" borderId="1" xfId="0" applyFont="1" applyFill="1" applyBorder="1" applyAlignment="1">
      <alignment horizontal="center" readingOrder="2"/>
    </xf>
    <xf numFmtId="0" fontId="14" fillId="3" borderId="3" xfId="0" applyFont="1" applyFill="1" applyBorder="1" applyAlignment="1">
      <alignment horizontal="center" readingOrder="2"/>
    </xf>
    <xf numFmtId="0" fontId="6" fillId="3" borderId="25" xfId="0" applyFont="1" applyFill="1" applyBorder="1" applyAlignment="1">
      <alignment horizontal="center" readingOrder="2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11" fillId="6" borderId="0" xfId="0" applyFont="1" applyFill="1"/>
    <xf numFmtId="49" fontId="8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6" fillId="3" borderId="17" xfId="0" applyFont="1" applyFill="1" applyBorder="1" applyAlignment="1">
      <alignment horizontal="center" readingOrder="2"/>
    </xf>
    <xf numFmtId="0" fontId="8" fillId="3" borderId="0" xfId="0" applyFont="1" applyFill="1" applyAlignment="1">
      <alignment readingOrder="2"/>
    </xf>
    <xf numFmtId="0" fontId="6" fillId="3" borderId="0" xfId="0" applyFont="1" applyFill="1" applyAlignment="1">
      <alignment readingOrder="2"/>
    </xf>
    <xf numFmtId="9" fontId="6" fillId="3" borderId="0" xfId="0" applyNumberFormat="1" applyFont="1" applyFill="1" applyAlignment="1">
      <alignment readingOrder="2"/>
    </xf>
    <xf numFmtId="9" fontId="6" fillId="3" borderId="0" xfId="0" applyNumberFormat="1" applyFont="1" applyFill="1"/>
    <xf numFmtId="0" fontId="8" fillId="3" borderId="0" xfId="0" applyFont="1" applyFill="1" applyAlignment="1">
      <alignment horizontal="right" readingOrder="2"/>
    </xf>
    <xf numFmtId="3" fontId="8" fillId="3" borderId="1" xfId="1" applyNumberFormat="1" applyFont="1" applyFill="1" applyBorder="1" applyAlignment="1" applyProtection="1">
      <alignment vertical="center"/>
    </xf>
    <xf numFmtId="3" fontId="8" fillId="3" borderId="17" xfId="1" applyNumberFormat="1" applyFont="1" applyFill="1" applyBorder="1" applyAlignment="1" applyProtection="1">
      <alignment vertical="center"/>
    </xf>
    <xf numFmtId="3" fontId="8" fillId="3" borderId="26" xfId="1" applyNumberFormat="1" applyFont="1" applyFill="1" applyBorder="1" applyAlignment="1" applyProtection="1">
      <alignment vertical="center"/>
    </xf>
    <xf numFmtId="9" fontId="8" fillId="3" borderId="1" xfId="0" applyNumberFormat="1" applyFont="1" applyFill="1" applyBorder="1" applyAlignment="1">
      <alignment vertical="center" readingOrder="2"/>
    </xf>
    <xf numFmtId="9" fontId="8" fillId="3" borderId="17" xfId="0" applyNumberFormat="1" applyFont="1" applyFill="1" applyBorder="1" applyAlignment="1">
      <alignment vertical="center" readingOrder="2"/>
    </xf>
    <xf numFmtId="3" fontId="8" fillId="3" borderId="3" xfId="1" applyNumberFormat="1" applyFont="1" applyFill="1" applyBorder="1" applyAlignment="1" applyProtection="1">
      <alignment vertical="center"/>
    </xf>
    <xf numFmtId="3" fontId="8" fillId="3" borderId="0" xfId="1" applyNumberFormat="1" applyFont="1" applyFill="1" applyBorder="1" applyAlignment="1" applyProtection="1">
      <alignment vertical="center"/>
    </xf>
    <xf numFmtId="3" fontId="8" fillId="3" borderId="4" xfId="1" applyNumberFormat="1" applyFont="1" applyFill="1" applyBorder="1" applyAlignment="1" applyProtection="1">
      <alignment vertical="center"/>
    </xf>
    <xf numFmtId="9" fontId="8" fillId="3" borderId="3" xfId="0" applyNumberFormat="1" applyFont="1" applyFill="1" applyBorder="1" applyAlignment="1">
      <alignment vertical="center" readingOrder="2"/>
    </xf>
    <xf numFmtId="9" fontId="8" fillId="3" borderId="0" xfId="0" applyNumberFormat="1" applyFont="1" applyFill="1" applyAlignment="1">
      <alignment vertical="center" readingOrder="2"/>
    </xf>
    <xf numFmtId="3" fontId="8" fillId="3" borderId="5" xfId="1" applyNumberFormat="1" applyFont="1" applyFill="1" applyBorder="1" applyAlignment="1" applyProtection="1">
      <alignment vertical="center"/>
    </xf>
    <xf numFmtId="3" fontId="8" fillId="3" borderId="6" xfId="1" applyNumberFormat="1" applyFont="1" applyFill="1" applyBorder="1" applyAlignment="1" applyProtection="1">
      <alignment vertical="center"/>
    </xf>
    <xf numFmtId="3" fontId="8" fillId="3" borderId="7" xfId="1" applyNumberFormat="1" applyFont="1" applyFill="1" applyBorder="1" applyAlignment="1" applyProtection="1">
      <alignment vertical="center"/>
    </xf>
    <xf numFmtId="165" fontId="8" fillId="3" borderId="5" xfId="1" applyNumberFormat="1" applyFont="1" applyFill="1" applyBorder="1" applyAlignment="1" applyProtection="1">
      <alignment readingOrder="2"/>
    </xf>
    <xf numFmtId="165" fontId="8" fillId="3" borderId="7" xfId="1" applyNumberFormat="1" applyFont="1" applyFill="1" applyBorder="1" applyAlignment="1" applyProtection="1">
      <alignment readingOrder="2"/>
    </xf>
    <xf numFmtId="9" fontId="8" fillId="3" borderId="5" xfId="0" applyNumberFormat="1" applyFont="1" applyFill="1" applyBorder="1" applyAlignment="1">
      <alignment vertical="center" readingOrder="2"/>
    </xf>
    <xf numFmtId="9" fontId="8" fillId="3" borderId="6" xfId="0" applyNumberFormat="1" applyFont="1" applyFill="1" applyBorder="1" applyAlignment="1">
      <alignment vertical="center" readingOrder="2"/>
    </xf>
    <xf numFmtId="0" fontId="6" fillId="3" borderId="1" xfId="0" applyFont="1" applyFill="1" applyBorder="1" applyAlignment="1">
      <alignment horizontal="center" readingOrder="2"/>
    </xf>
    <xf numFmtId="3" fontId="8" fillId="3" borderId="26" xfId="1" applyNumberFormat="1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>
      <alignment horizontal="center" readingOrder="2"/>
    </xf>
    <xf numFmtId="0" fontId="6" fillId="3" borderId="6" xfId="0" applyFont="1" applyFill="1" applyBorder="1" applyAlignment="1">
      <alignment horizontal="center" readingOrder="2"/>
    </xf>
    <xf numFmtId="3" fontId="8" fillId="3" borderId="7" xfId="1" applyNumberFormat="1" applyFont="1" applyFill="1" applyBorder="1" applyAlignment="1" applyProtection="1">
      <alignment horizontal="center" vertical="center"/>
    </xf>
    <xf numFmtId="49" fontId="8" fillId="0" borderId="0" xfId="0" applyNumberFormat="1" applyFont="1" applyAlignment="1">
      <alignment readingOrder="2"/>
    </xf>
    <xf numFmtId="0" fontId="8" fillId="3" borderId="0" xfId="0" applyFont="1" applyFill="1"/>
    <xf numFmtId="49" fontId="6" fillId="3" borderId="0" xfId="0" applyNumberFormat="1" applyFont="1" applyFill="1"/>
    <xf numFmtId="0" fontId="8" fillId="3" borderId="0" xfId="0" applyFont="1" applyFill="1" applyAlignment="1">
      <alignment horizontal="center"/>
    </xf>
    <xf numFmtId="0" fontId="11" fillId="3" borderId="0" xfId="0" applyFont="1" applyFill="1"/>
    <xf numFmtId="49" fontId="8" fillId="3" borderId="0" xfId="0" applyNumberFormat="1" applyFont="1" applyFill="1" applyAlignment="1">
      <alignment horizontal="center"/>
    </xf>
    <xf numFmtId="0" fontId="8" fillId="6" borderId="0" xfId="0" applyFont="1" applyFill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11" fillId="4" borderId="9" xfId="0" applyFont="1" applyFill="1" applyBorder="1"/>
    <xf numFmtId="0" fontId="9" fillId="4" borderId="9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/>
    </xf>
    <xf numFmtId="0" fontId="11" fillId="4" borderId="10" xfId="0" applyFont="1" applyFill="1" applyBorder="1"/>
    <xf numFmtId="0" fontId="9" fillId="4" borderId="10" xfId="0" applyFont="1" applyFill="1" applyBorder="1" applyAlignment="1">
      <alignment horizontal="center" wrapText="1"/>
    </xf>
    <xf numFmtId="0" fontId="9" fillId="4" borderId="10" xfId="0" applyFont="1" applyFill="1" applyBorder="1"/>
    <xf numFmtId="0" fontId="9" fillId="4" borderId="4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44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10" fontId="9" fillId="4" borderId="10" xfId="0" applyNumberFormat="1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center"/>
    </xf>
    <xf numFmtId="3" fontId="11" fillId="3" borderId="8" xfId="0" applyNumberFormat="1" applyFont="1" applyFill="1" applyBorder="1" applyAlignment="1">
      <alignment horizontal="center"/>
    </xf>
    <xf numFmtId="0" fontId="4" fillId="3" borderId="2" xfId="4" applyFont="1" applyFill="1" applyBorder="1"/>
    <xf numFmtId="0" fontId="24" fillId="3" borderId="2" xfId="4" applyFont="1" applyFill="1" applyBorder="1"/>
    <xf numFmtId="0" fontId="24" fillId="3" borderId="2" xfId="4" applyFont="1" applyFill="1" applyBorder="1" applyAlignment="1">
      <alignment horizontal="center"/>
    </xf>
    <xf numFmtId="3" fontId="11" fillId="3" borderId="2" xfId="0" applyNumberFormat="1" applyFont="1" applyFill="1" applyBorder="1" applyAlignment="1">
      <alignment horizontal="center"/>
    </xf>
    <xf numFmtId="0" fontId="11" fillId="7" borderId="0" xfId="0" applyFont="1" applyFill="1"/>
    <xf numFmtId="3" fontId="11" fillId="6" borderId="2" xfId="0" applyNumberFormat="1" applyFont="1" applyFill="1" applyBorder="1" applyAlignment="1">
      <alignment horizontal="center"/>
    </xf>
    <xf numFmtId="0" fontId="11" fillId="8" borderId="0" xfId="0" applyFont="1" applyFill="1"/>
    <xf numFmtId="3" fontId="11" fillId="4" borderId="2" xfId="0" applyNumberFormat="1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49" fontId="11" fillId="4" borderId="2" xfId="0" applyNumberFormat="1" applyFont="1" applyFill="1" applyBorder="1" applyAlignment="1">
      <alignment horizontal="center"/>
    </xf>
    <xf numFmtId="3" fontId="9" fillId="4" borderId="2" xfId="0" applyNumberFormat="1" applyFont="1" applyFill="1" applyBorder="1" applyAlignment="1">
      <alignment horizontal="center"/>
    </xf>
    <xf numFmtId="3" fontId="11" fillId="4" borderId="18" xfId="0" applyNumberFormat="1" applyFont="1" applyFill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49" fontId="24" fillId="3" borderId="2" xfId="0" applyNumberFormat="1" applyFont="1" applyFill="1" applyBorder="1" applyAlignment="1">
      <alignment horizontal="center"/>
    </xf>
    <xf numFmtId="0" fontId="3" fillId="3" borderId="2" xfId="4" applyFont="1" applyFill="1" applyBorder="1"/>
    <xf numFmtId="3" fontId="11" fillId="5" borderId="15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49" fontId="11" fillId="5" borderId="2" xfId="0" applyNumberFormat="1" applyFont="1" applyFill="1" applyBorder="1" applyAlignment="1">
      <alignment horizontal="center"/>
    </xf>
    <xf numFmtId="3" fontId="11" fillId="3" borderId="12" xfId="0" applyNumberFormat="1" applyFont="1" applyFill="1" applyBorder="1" applyAlignment="1">
      <alignment horizontal="center"/>
    </xf>
    <xf numFmtId="3" fontId="11" fillId="3" borderId="0" xfId="0" applyNumberFormat="1" applyFont="1" applyFill="1"/>
    <xf numFmtId="49" fontId="11" fillId="3" borderId="0" xfId="0" applyNumberFormat="1" applyFont="1" applyFill="1"/>
    <xf numFmtId="3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" fillId="3" borderId="2" xfId="4" applyFont="1" applyFill="1" applyBorder="1"/>
    <xf numFmtId="3" fontId="11" fillId="6" borderId="8" xfId="0" applyNumberFormat="1" applyFont="1" applyFill="1" applyBorder="1" applyAlignment="1">
      <alignment horizontal="center"/>
    </xf>
    <xf numFmtId="0" fontId="1" fillId="3" borderId="2" xfId="4" applyFont="1" applyFill="1" applyBorder="1"/>
    <xf numFmtId="3" fontId="8" fillId="3" borderId="2" xfId="0" applyNumberFormat="1" applyFont="1" applyFill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0" fontId="15" fillId="3" borderId="0" xfId="0" applyFont="1" applyFill="1" applyAlignment="1">
      <alignment horizontal="center" readingOrder="2"/>
    </xf>
    <xf numFmtId="0" fontId="7" fillId="3" borderId="0" xfId="0" applyFont="1" applyFill="1" applyAlignment="1">
      <alignment horizontal="center" readingOrder="2"/>
    </xf>
    <xf numFmtId="0" fontId="6" fillId="3" borderId="0" xfId="0" applyFont="1" applyFill="1" applyAlignment="1">
      <alignment horizontal="center" readingOrder="2"/>
    </xf>
    <xf numFmtId="0" fontId="6" fillId="3" borderId="39" xfId="0" applyFont="1" applyFill="1" applyBorder="1" applyAlignment="1">
      <alignment horizontal="center" readingOrder="2"/>
    </xf>
    <xf numFmtId="0" fontId="6" fillId="3" borderId="32" xfId="0" applyFont="1" applyFill="1" applyBorder="1" applyAlignment="1">
      <alignment horizontal="center" readingOrder="2"/>
    </xf>
    <xf numFmtId="0" fontId="6" fillId="3" borderId="13" xfId="0" applyFont="1" applyFill="1" applyBorder="1" applyAlignment="1">
      <alignment horizontal="center" readingOrder="2"/>
    </xf>
    <xf numFmtId="0" fontId="14" fillId="3" borderId="18" xfId="0" applyFont="1" applyFill="1" applyBorder="1" applyAlignment="1">
      <alignment horizontal="center" readingOrder="2"/>
    </xf>
    <xf numFmtId="0" fontId="14" fillId="3" borderId="32" xfId="0" applyFont="1" applyFill="1" applyBorder="1" applyAlignment="1">
      <alignment horizontal="center" readingOrder="2"/>
    </xf>
    <xf numFmtId="0" fontId="14" fillId="3" borderId="33" xfId="0" applyFont="1" applyFill="1" applyBorder="1" applyAlignment="1">
      <alignment horizontal="center" readingOrder="2"/>
    </xf>
    <xf numFmtId="0" fontId="6" fillId="3" borderId="0" xfId="0" applyFont="1" applyFill="1" applyAlignment="1">
      <alignment horizontal="center" vertical="distributed" readingOrder="2"/>
    </xf>
    <xf numFmtId="9" fontId="10" fillId="3" borderId="0" xfId="0" applyNumberFormat="1" applyFont="1" applyFill="1" applyAlignment="1">
      <alignment horizontal="right"/>
    </xf>
    <xf numFmtId="9" fontId="10" fillId="3" borderId="4" xfId="0" applyNumberFormat="1" applyFont="1" applyFill="1" applyBorder="1" applyAlignment="1">
      <alignment horizontal="right"/>
    </xf>
    <xf numFmtId="49" fontId="18" fillId="3" borderId="16" xfId="0" applyNumberFormat="1" applyFont="1" applyFill="1" applyBorder="1" applyAlignment="1">
      <alignment horizontal="center"/>
    </xf>
    <xf numFmtId="49" fontId="18" fillId="3" borderId="8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right" readingOrder="2"/>
    </xf>
    <xf numFmtId="0" fontId="6" fillId="3" borderId="2" xfId="0" applyFont="1" applyFill="1" applyBorder="1" applyAlignment="1">
      <alignment horizontal="center" vertical="distributed" readingOrder="2"/>
    </xf>
    <xf numFmtId="9" fontId="11" fillId="3" borderId="8" xfId="0" applyNumberFormat="1" applyFont="1" applyFill="1" applyBorder="1" applyAlignment="1">
      <alignment horizontal="center" readingOrder="2"/>
    </xf>
    <xf numFmtId="9" fontId="11" fillId="3" borderId="5" xfId="0" applyNumberFormat="1" applyFont="1" applyFill="1" applyBorder="1" applyAlignment="1">
      <alignment horizontal="center" readingOrder="2"/>
    </xf>
    <xf numFmtId="0" fontId="6" fillId="3" borderId="0" xfId="0" applyFont="1" applyFill="1" applyAlignment="1">
      <alignment horizontal="left" vertical="distributed" readingOrder="2"/>
    </xf>
    <xf numFmtId="9" fontId="11" fillId="3" borderId="11" xfId="0" applyNumberFormat="1" applyFont="1" applyFill="1" applyBorder="1"/>
    <xf numFmtId="9" fontId="11" fillId="3" borderId="8" xfId="0" applyNumberFormat="1" applyFont="1" applyFill="1" applyBorder="1"/>
    <xf numFmtId="0" fontId="14" fillId="3" borderId="0" xfId="0" applyFont="1" applyFill="1" applyAlignment="1">
      <alignment horizontal="center" readingOrder="2"/>
    </xf>
    <xf numFmtId="0" fontId="7" fillId="3" borderId="0" xfId="0" applyFont="1" applyFill="1" applyAlignment="1">
      <alignment horizontal="center" vertical="center" wrapText="1" readingOrder="2"/>
    </xf>
    <xf numFmtId="0" fontId="6" fillId="3" borderId="8" xfId="0" applyFont="1" applyFill="1" applyBorder="1" applyAlignment="1">
      <alignment horizontal="center" vertical="distributed" readingOrder="2"/>
    </xf>
    <xf numFmtId="49" fontId="15" fillId="3" borderId="0" xfId="0" applyNumberFormat="1" applyFont="1" applyFill="1" applyAlignment="1">
      <alignment horizontal="center" readingOrder="2"/>
    </xf>
    <xf numFmtId="0" fontId="21" fillId="0" borderId="0" xfId="0" applyFont="1" applyAlignment="1">
      <alignment horizontal="center"/>
    </xf>
    <xf numFmtId="9" fontId="11" fillId="3" borderId="0" xfId="0" applyNumberFormat="1" applyFont="1" applyFill="1" applyAlignment="1">
      <alignment horizontal="center" readingOrder="2"/>
    </xf>
    <xf numFmtId="0" fontId="11" fillId="3" borderId="16" xfId="0" applyFont="1" applyFill="1" applyBorder="1" applyAlignment="1">
      <alignment horizontal="center" vertical="center" readingOrder="2"/>
    </xf>
    <xf numFmtId="0" fontId="11" fillId="3" borderId="8" xfId="0" applyFont="1" applyFill="1" applyBorder="1" applyAlignment="1">
      <alignment horizontal="center" vertical="center" readingOrder="2"/>
    </xf>
    <xf numFmtId="0" fontId="11" fillId="3" borderId="1" xfId="0" applyFont="1" applyFill="1" applyBorder="1" applyAlignment="1">
      <alignment horizontal="center" vertical="center" wrapText="1" readingOrder="2"/>
    </xf>
    <xf numFmtId="0" fontId="11" fillId="3" borderId="17" xfId="0" applyFont="1" applyFill="1" applyBorder="1" applyAlignment="1">
      <alignment horizontal="center" vertical="center" wrapText="1" readingOrder="2"/>
    </xf>
    <xf numFmtId="0" fontId="11" fillId="3" borderId="26" xfId="0" applyFont="1" applyFill="1" applyBorder="1" applyAlignment="1">
      <alignment horizontal="center" vertical="center" wrapText="1" readingOrder="2"/>
    </xf>
    <xf numFmtId="0" fontId="11" fillId="3" borderId="5" xfId="0" applyFont="1" applyFill="1" applyBorder="1" applyAlignment="1">
      <alignment horizontal="center" vertical="center" wrapText="1" readingOrder="2"/>
    </xf>
    <xf numFmtId="0" fontId="11" fillId="3" borderId="6" xfId="0" applyFont="1" applyFill="1" applyBorder="1" applyAlignment="1">
      <alignment horizontal="center" vertical="center" wrapText="1" readingOrder="2"/>
    </xf>
    <xf numFmtId="0" fontId="11" fillId="3" borderId="7" xfId="0" applyFont="1" applyFill="1" applyBorder="1" applyAlignment="1">
      <alignment horizontal="center" vertical="center" wrapText="1" readingOrder="2"/>
    </xf>
    <xf numFmtId="165" fontId="14" fillId="3" borderId="1" xfId="1" applyNumberFormat="1" applyFont="1" applyFill="1" applyBorder="1" applyAlignment="1" applyProtection="1">
      <alignment horizontal="center" vertical="center" readingOrder="2"/>
    </xf>
    <xf numFmtId="165" fontId="14" fillId="3" borderId="17" xfId="1" applyNumberFormat="1" applyFont="1" applyFill="1" applyBorder="1" applyAlignment="1" applyProtection="1">
      <alignment horizontal="center" vertical="center" readingOrder="2"/>
    </xf>
    <xf numFmtId="165" fontId="14" fillId="3" borderId="26" xfId="1" applyNumberFormat="1" applyFont="1" applyFill="1" applyBorder="1" applyAlignment="1" applyProtection="1">
      <alignment horizontal="center" vertical="center" readingOrder="2"/>
    </xf>
    <xf numFmtId="165" fontId="14" fillId="3" borderId="5" xfId="1" applyNumberFormat="1" applyFont="1" applyFill="1" applyBorder="1" applyAlignment="1" applyProtection="1">
      <alignment horizontal="center" vertical="center" readingOrder="2"/>
    </xf>
    <xf numFmtId="165" fontId="14" fillId="3" borderId="6" xfId="1" applyNumberFormat="1" applyFont="1" applyFill="1" applyBorder="1" applyAlignment="1" applyProtection="1">
      <alignment horizontal="center" vertical="center" readingOrder="2"/>
    </xf>
    <xf numFmtId="165" fontId="14" fillId="3" borderId="7" xfId="1" applyNumberFormat="1" applyFont="1" applyFill="1" applyBorder="1" applyAlignment="1" applyProtection="1">
      <alignment horizontal="center" vertical="center" readingOrder="2"/>
    </xf>
    <xf numFmtId="0" fontId="14" fillId="3" borderId="1" xfId="0" applyFont="1" applyFill="1" applyBorder="1" applyAlignment="1">
      <alignment horizontal="center" vertical="center" readingOrder="2"/>
    </xf>
    <xf numFmtId="0" fontId="14" fillId="3" borderId="26" xfId="0" applyFont="1" applyFill="1" applyBorder="1" applyAlignment="1">
      <alignment horizontal="center" vertical="center" readingOrder="2"/>
    </xf>
    <xf numFmtId="0" fontId="14" fillId="3" borderId="5" xfId="0" applyFont="1" applyFill="1" applyBorder="1" applyAlignment="1">
      <alignment horizontal="center" vertical="center" readingOrder="2"/>
    </xf>
    <xf numFmtId="0" fontId="14" fillId="3" borderId="7" xfId="0" applyFont="1" applyFill="1" applyBorder="1" applyAlignment="1">
      <alignment horizontal="center" vertical="center" readingOrder="2"/>
    </xf>
    <xf numFmtId="0" fontId="11" fillId="3" borderId="32" xfId="0" applyFont="1" applyFill="1" applyBorder="1" applyAlignment="1">
      <alignment horizontal="center" readingOrder="2"/>
    </xf>
    <xf numFmtId="0" fontId="11" fillId="3" borderId="13" xfId="0" applyFont="1" applyFill="1" applyBorder="1" applyAlignment="1">
      <alignment horizontal="center" readingOrder="2"/>
    </xf>
    <xf numFmtId="0" fontId="11" fillId="3" borderId="5" xfId="0" applyFont="1" applyFill="1" applyBorder="1" applyAlignment="1">
      <alignment horizontal="center" readingOrder="2"/>
    </xf>
    <xf numFmtId="0" fontId="11" fillId="3" borderId="6" xfId="0" applyFont="1" applyFill="1" applyBorder="1" applyAlignment="1">
      <alignment horizontal="center" readingOrder="2"/>
    </xf>
    <xf numFmtId="0" fontId="10" fillId="3" borderId="0" xfId="0" applyFont="1" applyFill="1" applyAlignment="1">
      <alignment horizontal="center" readingOrder="2"/>
    </xf>
    <xf numFmtId="0" fontId="10" fillId="3" borderId="4" xfId="0" applyFont="1" applyFill="1" applyBorder="1" applyAlignment="1">
      <alignment horizontal="center" readingOrder="2"/>
    </xf>
    <xf numFmtId="0" fontId="11" fillId="3" borderId="18" xfId="0" applyFont="1" applyFill="1" applyBorder="1" applyAlignment="1">
      <alignment horizontal="center" readingOrder="2"/>
    </xf>
    <xf numFmtId="9" fontId="15" fillId="3" borderId="1" xfId="0" applyNumberFormat="1" applyFont="1" applyFill="1" applyBorder="1" applyAlignment="1">
      <alignment horizontal="center" vertical="center" readingOrder="2"/>
    </xf>
    <xf numFmtId="9" fontId="15" fillId="3" borderId="26" xfId="0" applyNumberFormat="1" applyFont="1" applyFill="1" applyBorder="1" applyAlignment="1">
      <alignment horizontal="center" vertical="center" readingOrder="2"/>
    </xf>
    <xf numFmtId="9" fontId="15" fillId="3" borderId="3" xfId="0" applyNumberFormat="1" applyFont="1" applyFill="1" applyBorder="1" applyAlignment="1">
      <alignment horizontal="center" vertical="center" readingOrder="2"/>
    </xf>
    <xf numFmtId="9" fontId="15" fillId="3" borderId="4" xfId="0" applyNumberFormat="1" applyFont="1" applyFill="1" applyBorder="1" applyAlignment="1">
      <alignment horizontal="center" vertical="center" readingOrder="2"/>
    </xf>
    <xf numFmtId="165" fontId="10" fillId="3" borderId="0" xfId="1" applyNumberFormat="1" applyFont="1" applyFill="1" applyBorder="1" applyAlignment="1" applyProtection="1">
      <alignment horizontal="center" readingOrder="2"/>
    </xf>
    <xf numFmtId="3" fontId="7" fillId="3" borderId="0" xfId="1" applyNumberFormat="1" applyFont="1" applyFill="1" applyBorder="1" applyAlignment="1" applyProtection="1">
      <alignment horizontal="center" vertical="center"/>
    </xf>
    <xf numFmtId="165" fontId="19" fillId="3" borderId="0" xfId="1" applyNumberFormat="1" applyFont="1" applyFill="1" applyBorder="1" applyAlignment="1" applyProtection="1">
      <alignment readingOrder="2"/>
    </xf>
    <xf numFmtId="165" fontId="11" fillId="3" borderId="8" xfId="1" applyNumberFormat="1" applyFont="1" applyFill="1" applyBorder="1" applyAlignment="1" applyProtection="1">
      <alignment horizontal="center" readingOrder="2"/>
    </xf>
    <xf numFmtId="0" fontId="6" fillId="3" borderId="16" xfId="0" applyFont="1" applyFill="1" applyBorder="1" applyAlignment="1">
      <alignment horizontal="center" vertical="center" textRotation="90" wrapText="1" readingOrder="2"/>
    </xf>
    <xf numFmtId="0" fontId="6" fillId="3" borderId="11" xfId="0" applyFont="1" applyFill="1" applyBorder="1" applyAlignment="1">
      <alignment horizontal="center" vertical="center" textRotation="90" wrapText="1" readingOrder="2"/>
    </xf>
    <xf numFmtId="0" fontId="6" fillId="3" borderId="8" xfId="0" applyFont="1" applyFill="1" applyBorder="1" applyAlignment="1">
      <alignment horizontal="center" vertical="center" textRotation="90" wrapText="1" readingOrder="2"/>
    </xf>
    <xf numFmtId="9" fontId="15" fillId="3" borderId="5" xfId="0" applyNumberFormat="1" applyFont="1" applyFill="1" applyBorder="1" applyAlignment="1">
      <alignment horizontal="center" vertical="center" readingOrder="2"/>
    </xf>
    <xf numFmtId="9" fontId="15" fillId="3" borderId="7" xfId="0" applyNumberFormat="1" applyFont="1" applyFill="1" applyBorder="1" applyAlignment="1">
      <alignment horizontal="center" vertical="center" readingOrder="2"/>
    </xf>
    <xf numFmtId="0" fontId="10" fillId="3" borderId="0" xfId="1" applyNumberFormat="1" applyFont="1" applyFill="1" applyBorder="1" applyAlignment="1" applyProtection="1">
      <alignment horizontal="center" readingOrder="2"/>
    </xf>
    <xf numFmtId="3" fontId="15" fillId="3" borderId="0" xfId="1" applyNumberFormat="1" applyFont="1" applyFill="1" applyBorder="1" applyAlignment="1" applyProtection="1">
      <alignment horizontal="center" vertical="center"/>
    </xf>
    <xf numFmtId="165" fontId="11" fillId="3" borderId="0" xfId="1" applyNumberFormat="1" applyFont="1" applyFill="1" applyBorder="1" applyAlignment="1" applyProtection="1">
      <alignment horizontal="center" readingOrder="2"/>
    </xf>
    <xf numFmtId="3" fontId="7" fillId="3" borderId="1" xfId="1" applyNumberFormat="1" applyFont="1" applyFill="1" applyBorder="1" applyAlignment="1" applyProtection="1">
      <alignment horizontal="center" vertical="center"/>
    </xf>
    <xf numFmtId="3" fontId="7" fillId="3" borderId="17" xfId="1" applyNumberFormat="1" applyFont="1" applyFill="1" applyBorder="1" applyAlignment="1" applyProtection="1">
      <alignment horizontal="center" vertical="center"/>
    </xf>
    <xf numFmtId="3" fontId="7" fillId="3" borderId="26" xfId="1" applyNumberFormat="1" applyFont="1" applyFill="1" applyBorder="1" applyAlignment="1" applyProtection="1">
      <alignment horizontal="center" vertical="center"/>
    </xf>
    <xf numFmtId="3" fontId="7" fillId="3" borderId="3" xfId="1" applyNumberFormat="1" applyFont="1" applyFill="1" applyBorder="1" applyAlignment="1" applyProtection="1">
      <alignment horizontal="center" vertical="center"/>
    </xf>
    <xf numFmtId="3" fontId="7" fillId="3" borderId="4" xfId="1" applyNumberFormat="1" applyFont="1" applyFill="1" applyBorder="1" applyAlignment="1" applyProtection="1">
      <alignment horizontal="center" vertical="center"/>
    </xf>
    <xf numFmtId="3" fontId="7" fillId="3" borderId="5" xfId="1" applyNumberFormat="1" applyFont="1" applyFill="1" applyBorder="1" applyAlignment="1" applyProtection="1">
      <alignment horizontal="center" vertical="center"/>
    </xf>
    <xf numFmtId="3" fontId="7" fillId="3" borderId="6" xfId="1" applyNumberFormat="1" applyFont="1" applyFill="1" applyBorder="1" applyAlignment="1" applyProtection="1">
      <alignment horizontal="center" vertical="center"/>
    </xf>
    <xf numFmtId="3" fontId="7" fillId="3" borderId="7" xfId="1" applyNumberFormat="1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>
      <alignment horizontal="center" vertical="center" readingOrder="2"/>
    </xf>
    <xf numFmtId="0" fontId="6" fillId="3" borderId="0" xfId="0" applyFont="1" applyFill="1" applyAlignment="1">
      <alignment horizontal="center" vertical="center" readingOrder="2"/>
    </xf>
    <xf numFmtId="3" fontId="7" fillId="3" borderId="1" xfId="0" applyNumberFormat="1" applyFont="1" applyFill="1" applyBorder="1" applyAlignment="1">
      <alignment horizontal="center" vertical="center" readingOrder="2"/>
    </xf>
    <xf numFmtId="0" fontId="7" fillId="3" borderId="17" xfId="0" applyFont="1" applyFill="1" applyBorder="1" applyAlignment="1">
      <alignment horizontal="center" vertical="center" readingOrder="2"/>
    </xf>
    <xf numFmtId="0" fontId="7" fillId="3" borderId="26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7" fillId="3" borderId="0" xfId="0" applyFont="1" applyFill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  <xf numFmtId="0" fontId="7" fillId="3" borderId="5" xfId="0" applyFont="1" applyFill="1" applyBorder="1" applyAlignment="1">
      <alignment horizontal="center" vertical="center" readingOrder="2"/>
    </xf>
    <xf numFmtId="0" fontId="7" fillId="3" borderId="6" xfId="0" applyFont="1" applyFill="1" applyBorder="1" applyAlignment="1">
      <alignment horizontal="center" vertical="center" readingOrder="2"/>
    </xf>
    <xf numFmtId="0" fontId="7" fillId="3" borderId="7" xfId="0" applyFont="1" applyFill="1" applyBorder="1" applyAlignment="1">
      <alignment horizontal="center" vertical="center" readingOrder="2"/>
    </xf>
    <xf numFmtId="0" fontId="6" fillId="3" borderId="17" xfId="0" applyFont="1" applyFill="1" applyBorder="1" applyAlignment="1">
      <alignment horizontal="center" readingOrder="2"/>
    </xf>
    <xf numFmtId="165" fontId="10" fillId="3" borderId="8" xfId="1" applyNumberFormat="1" applyFont="1" applyFill="1" applyBorder="1" applyAlignment="1" applyProtection="1">
      <alignment horizontal="center" readingOrder="2"/>
    </xf>
    <xf numFmtId="49" fontId="15" fillId="3" borderId="1" xfId="0" applyNumberFormat="1" applyFont="1" applyFill="1" applyBorder="1" applyAlignment="1">
      <alignment horizontal="center" vertical="center" readingOrder="2"/>
    </xf>
    <xf numFmtId="49" fontId="15" fillId="3" borderId="26" xfId="0" applyNumberFormat="1" applyFont="1" applyFill="1" applyBorder="1" applyAlignment="1">
      <alignment horizontal="center" vertical="center" readingOrder="2"/>
    </xf>
    <xf numFmtId="49" fontId="15" fillId="3" borderId="3" xfId="0" applyNumberFormat="1" applyFont="1" applyFill="1" applyBorder="1" applyAlignment="1">
      <alignment horizontal="center" vertical="center" readingOrder="2"/>
    </xf>
    <xf numFmtId="49" fontId="15" fillId="3" borderId="4" xfId="0" applyNumberFormat="1" applyFont="1" applyFill="1" applyBorder="1" applyAlignment="1">
      <alignment horizontal="center" vertical="center" readingOrder="2"/>
    </xf>
    <xf numFmtId="49" fontId="15" fillId="3" borderId="5" xfId="0" applyNumberFormat="1" applyFont="1" applyFill="1" applyBorder="1" applyAlignment="1">
      <alignment horizontal="center" vertical="center" readingOrder="2"/>
    </xf>
    <xf numFmtId="49" fontId="15" fillId="3" borderId="7" xfId="0" applyNumberFormat="1" applyFont="1" applyFill="1" applyBorder="1" applyAlignment="1">
      <alignment horizontal="center" vertical="center" readingOrder="2"/>
    </xf>
    <xf numFmtId="0" fontId="11" fillId="3" borderId="0" xfId="0" applyFont="1" applyFill="1" applyAlignment="1">
      <alignment readingOrder="2"/>
    </xf>
    <xf numFmtId="0" fontId="11" fillId="3" borderId="4" xfId="0" applyFont="1" applyFill="1" applyBorder="1" applyAlignment="1">
      <alignment readingOrder="2"/>
    </xf>
    <xf numFmtId="0" fontId="23" fillId="3" borderId="0" xfId="0" applyFont="1" applyFill="1" applyAlignment="1">
      <alignment horizontal="right"/>
    </xf>
    <xf numFmtId="165" fontId="11" fillId="3" borderId="18" xfId="1" applyNumberFormat="1" applyFont="1" applyFill="1" applyBorder="1" applyAlignment="1" applyProtection="1">
      <alignment horizontal="center" readingOrder="2"/>
    </xf>
    <xf numFmtId="165" fontId="11" fillId="3" borderId="32" xfId="1" applyNumberFormat="1" applyFont="1" applyFill="1" applyBorder="1" applyAlignment="1" applyProtection="1">
      <alignment horizontal="center" readingOrder="2"/>
    </xf>
    <xf numFmtId="165" fontId="11" fillId="3" borderId="13" xfId="1" applyNumberFormat="1" applyFont="1" applyFill="1" applyBorder="1" applyAlignment="1" applyProtection="1">
      <alignment horizontal="center" readingOrder="2"/>
    </xf>
    <xf numFmtId="0" fontId="6" fillId="3" borderId="0" xfId="0" applyFont="1" applyFill="1" applyAlignment="1">
      <alignment horizontal="right" readingOrder="2"/>
    </xf>
    <xf numFmtId="3" fontId="8" fillId="3" borderId="0" xfId="1" applyNumberFormat="1" applyFont="1" applyFill="1" applyBorder="1" applyAlignment="1" applyProtection="1">
      <alignment horizontal="center" vertical="center"/>
    </xf>
    <xf numFmtId="3" fontId="8" fillId="3" borderId="1" xfId="1" applyNumberFormat="1" applyFont="1" applyFill="1" applyBorder="1" applyAlignment="1" applyProtection="1">
      <alignment horizontal="center" vertical="center"/>
    </xf>
    <xf numFmtId="3" fontId="8" fillId="3" borderId="17" xfId="1" applyNumberFormat="1" applyFont="1" applyFill="1" applyBorder="1" applyAlignment="1" applyProtection="1">
      <alignment horizontal="center" vertical="center"/>
    </xf>
    <xf numFmtId="3" fontId="8" fillId="3" borderId="26" xfId="1" applyNumberFormat="1" applyFont="1" applyFill="1" applyBorder="1" applyAlignment="1" applyProtection="1">
      <alignment horizontal="center" vertical="center"/>
    </xf>
    <xf numFmtId="3" fontId="8" fillId="3" borderId="3" xfId="1" applyNumberFormat="1" applyFont="1" applyFill="1" applyBorder="1" applyAlignment="1" applyProtection="1">
      <alignment horizontal="center" vertical="center"/>
    </xf>
    <xf numFmtId="3" fontId="8" fillId="3" borderId="4" xfId="1" applyNumberFormat="1" applyFont="1" applyFill="1" applyBorder="1" applyAlignment="1" applyProtection="1">
      <alignment horizontal="center" vertical="center"/>
    </xf>
    <xf numFmtId="3" fontId="8" fillId="3" borderId="5" xfId="1" applyNumberFormat="1" applyFont="1" applyFill="1" applyBorder="1" applyAlignment="1" applyProtection="1">
      <alignment horizontal="center" vertical="center"/>
    </xf>
    <xf numFmtId="3" fontId="8" fillId="3" borderId="6" xfId="1" applyNumberFormat="1" applyFont="1" applyFill="1" applyBorder="1" applyAlignment="1" applyProtection="1">
      <alignment horizontal="center" vertical="center"/>
    </xf>
    <xf numFmtId="3" fontId="8" fillId="3" borderId="7" xfId="1" applyNumberFormat="1" applyFont="1" applyFill="1" applyBorder="1" applyAlignment="1" applyProtection="1">
      <alignment horizontal="center" vertical="center"/>
    </xf>
    <xf numFmtId="3" fontId="8" fillId="3" borderId="1" xfId="0" applyNumberFormat="1" applyFont="1" applyFill="1" applyBorder="1" applyAlignment="1">
      <alignment horizontal="center" vertical="center" readingOrder="2"/>
    </xf>
    <xf numFmtId="0" fontId="8" fillId="3" borderId="17" xfId="0" applyFont="1" applyFill="1" applyBorder="1" applyAlignment="1">
      <alignment horizontal="center" vertical="center" readingOrder="2"/>
    </xf>
    <xf numFmtId="0" fontId="8" fillId="3" borderId="26" xfId="0" applyFont="1" applyFill="1" applyBorder="1" applyAlignment="1">
      <alignment horizontal="center" vertical="center" readingOrder="2"/>
    </xf>
    <xf numFmtId="0" fontId="8" fillId="3" borderId="3" xfId="0" applyFont="1" applyFill="1" applyBorder="1" applyAlignment="1">
      <alignment horizontal="center" vertical="center" readingOrder="2"/>
    </xf>
    <xf numFmtId="0" fontId="8" fillId="3" borderId="0" xfId="0" applyFont="1" applyFill="1" applyAlignment="1">
      <alignment horizontal="center" vertical="center" readingOrder="2"/>
    </xf>
    <xf numFmtId="0" fontId="8" fillId="3" borderId="4" xfId="0" applyFont="1" applyFill="1" applyBorder="1" applyAlignment="1">
      <alignment horizontal="center" vertical="center" readingOrder="2"/>
    </xf>
    <xf numFmtId="0" fontId="8" fillId="3" borderId="5" xfId="0" applyFont="1" applyFill="1" applyBorder="1" applyAlignment="1">
      <alignment horizontal="center" vertical="center" readingOrder="2"/>
    </xf>
    <xf numFmtId="0" fontId="8" fillId="3" borderId="6" xfId="0" applyFont="1" applyFill="1" applyBorder="1" applyAlignment="1">
      <alignment horizontal="center" vertical="center" readingOrder="2"/>
    </xf>
    <xf numFmtId="0" fontId="8" fillId="3" borderId="7" xfId="0" applyFont="1" applyFill="1" applyBorder="1" applyAlignment="1">
      <alignment horizontal="center" vertical="center" readingOrder="2"/>
    </xf>
    <xf numFmtId="0" fontId="8" fillId="3" borderId="0" xfId="0" applyFont="1" applyFill="1" applyAlignment="1">
      <alignment horizontal="center" readingOrder="2"/>
    </xf>
    <xf numFmtId="0" fontId="8" fillId="3" borderId="0" xfId="0" applyFont="1" applyFill="1" applyAlignment="1">
      <alignment horizontal="center" vertical="center" wrapText="1" readingOrder="2"/>
    </xf>
    <xf numFmtId="49" fontId="8" fillId="3" borderId="0" xfId="0" applyNumberFormat="1" applyFont="1" applyFill="1" applyAlignment="1">
      <alignment horizontal="center" readingOrder="2"/>
    </xf>
    <xf numFmtId="3" fontId="8" fillId="3" borderId="0" xfId="0" applyNumberFormat="1" applyFont="1" applyFill="1" applyAlignment="1">
      <alignment horizontal="center" readingOrder="2"/>
    </xf>
    <xf numFmtId="49" fontId="8" fillId="3" borderId="1" xfId="0" applyNumberFormat="1" applyFont="1" applyFill="1" applyBorder="1" applyAlignment="1">
      <alignment horizontal="center" vertical="center" readingOrder="2"/>
    </xf>
    <xf numFmtId="49" fontId="8" fillId="3" borderId="26" xfId="0" applyNumberFormat="1" applyFont="1" applyFill="1" applyBorder="1" applyAlignment="1">
      <alignment horizontal="center" vertical="center" readingOrder="2"/>
    </xf>
    <xf numFmtId="49" fontId="8" fillId="3" borderId="3" xfId="0" applyNumberFormat="1" applyFont="1" applyFill="1" applyBorder="1" applyAlignment="1">
      <alignment horizontal="center" vertical="center" readingOrder="2"/>
    </xf>
    <xf numFmtId="49" fontId="8" fillId="3" borderId="4" xfId="0" applyNumberFormat="1" applyFont="1" applyFill="1" applyBorder="1" applyAlignment="1">
      <alignment horizontal="center" vertical="center" readingOrder="2"/>
    </xf>
    <xf numFmtId="49" fontId="8" fillId="3" borderId="5" xfId="0" applyNumberFormat="1" applyFont="1" applyFill="1" applyBorder="1" applyAlignment="1">
      <alignment horizontal="center" vertical="center" readingOrder="2"/>
    </xf>
    <xf numFmtId="49" fontId="8" fillId="3" borderId="7" xfId="0" applyNumberFormat="1" applyFont="1" applyFill="1" applyBorder="1" applyAlignment="1">
      <alignment horizontal="center" vertical="center" readingOrder="2"/>
    </xf>
    <xf numFmtId="9" fontId="8" fillId="3" borderId="1" xfId="0" applyNumberFormat="1" applyFont="1" applyFill="1" applyBorder="1" applyAlignment="1">
      <alignment horizontal="center" vertical="center" readingOrder="2"/>
    </xf>
    <xf numFmtId="9" fontId="8" fillId="3" borderId="26" xfId="0" applyNumberFormat="1" applyFont="1" applyFill="1" applyBorder="1" applyAlignment="1">
      <alignment horizontal="center" vertical="center" readingOrder="2"/>
    </xf>
    <xf numFmtId="9" fontId="8" fillId="3" borderId="3" xfId="0" applyNumberFormat="1" applyFont="1" applyFill="1" applyBorder="1" applyAlignment="1">
      <alignment horizontal="center" vertical="center" readingOrder="2"/>
    </xf>
    <xf numFmtId="9" fontId="8" fillId="3" borderId="4" xfId="0" applyNumberFormat="1" applyFont="1" applyFill="1" applyBorder="1" applyAlignment="1">
      <alignment horizontal="center" vertical="center" readingOrder="2"/>
    </xf>
    <xf numFmtId="9" fontId="8" fillId="3" borderId="5" xfId="0" applyNumberFormat="1" applyFont="1" applyFill="1" applyBorder="1" applyAlignment="1">
      <alignment horizontal="center" vertical="center" readingOrder="2"/>
    </xf>
    <xf numFmtId="9" fontId="8" fillId="3" borderId="7" xfId="0" applyNumberFormat="1" applyFont="1" applyFill="1" applyBorder="1" applyAlignment="1">
      <alignment horizontal="center" vertical="center" readingOrder="2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right"/>
    </xf>
    <xf numFmtId="0" fontId="8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6" fillId="3" borderId="3" xfId="0" applyFont="1" applyFill="1" applyBorder="1" applyAlignment="1">
      <alignment vertical="center" readingOrder="2"/>
    </xf>
    <xf numFmtId="0" fontId="9" fillId="4" borderId="45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</cellXfs>
  <cellStyles count="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</cellStyles>
  <dxfs count="0"/>
  <tableStyles count="0" defaultTableStyle="TableStyleMedium9" defaultPivotStyle="PivotStyleLight16"/>
  <colors>
    <mruColors>
      <color rgb="FFC5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"/>
  <sheetViews>
    <sheetView rightToLeft="1" view="pageBreakPreview" zoomScale="80" zoomScaleSheetLayoutView="80" workbookViewId="0">
      <selection activeCell="BR42" sqref="BR42"/>
    </sheetView>
  </sheetViews>
  <sheetFormatPr defaultColWidth="8.765625" defaultRowHeight="17.399999999999999" x14ac:dyDescent="0.3"/>
  <cols>
    <col min="1" max="1" width="1.53515625" style="25" customWidth="1"/>
    <col min="2" max="2" width="4.15234375" style="28" customWidth="1"/>
    <col min="3" max="3" width="1.53515625" style="28" customWidth="1"/>
    <col min="4" max="4" width="3.3046875" style="25" customWidth="1"/>
    <col min="5" max="5" width="1.53515625" style="25" customWidth="1"/>
    <col min="6" max="6" width="1.84375" style="25" customWidth="1"/>
    <col min="7" max="7" width="2.15234375" style="25" customWidth="1"/>
    <col min="8" max="8" width="1.921875" style="25" customWidth="1"/>
    <col min="9" max="9" width="2" style="25" customWidth="1"/>
    <col min="10" max="10" width="0.61328125" style="25" customWidth="1"/>
    <col min="11" max="11" width="2.3046875" style="25" customWidth="1"/>
    <col min="12" max="12" width="2.3828125" style="25" customWidth="1"/>
    <col min="13" max="13" width="1.23046875" style="25" customWidth="1"/>
    <col min="14" max="14" width="2.15234375" style="25" customWidth="1"/>
    <col min="15" max="15" width="2.765625" style="25" customWidth="1"/>
    <col min="16" max="16" width="0.765625" style="25" customWidth="1"/>
    <col min="17" max="17" width="3.61328125" style="25" customWidth="1"/>
    <col min="18" max="18" width="8.921875" style="25" customWidth="1"/>
    <col min="19" max="19" width="1" style="25" customWidth="1"/>
    <col min="20" max="20" width="1.23046875" style="25" customWidth="1"/>
    <col min="21" max="21" width="2.921875" style="25" customWidth="1"/>
    <col min="22" max="22" width="3.4609375" style="25" customWidth="1"/>
    <col min="23" max="23" width="4.23046875" style="25" customWidth="1"/>
    <col min="24" max="24" width="1.61328125" style="25" customWidth="1"/>
    <col min="25" max="25" width="2.3046875" style="25" customWidth="1"/>
    <col min="26" max="26" width="2.3828125" style="27" customWidth="1"/>
    <col min="27" max="27" width="2" style="27" customWidth="1"/>
    <col min="28" max="28" width="2.15234375" style="27" customWidth="1"/>
    <col min="29" max="29" width="0.69140625" style="27" customWidth="1"/>
    <col min="30" max="30" width="0.4609375" style="27" customWidth="1"/>
    <col min="31" max="31" width="4.69140625" style="27" customWidth="1"/>
    <col min="32" max="32" width="1.23046875" style="27" customWidth="1"/>
    <col min="33" max="33" width="2.15234375" style="27" customWidth="1"/>
    <col min="34" max="34" width="2.61328125" style="27" customWidth="1"/>
    <col min="35" max="35" width="1.15234375" style="27" customWidth="1"/>
    <col min="36" max="36" width="1.921875" style="27" customWidth="1"/>
    <col min="37" max="37" width="1" style="27" customWidth="1"/>
    <col min="38" max="39" width="2.15234375" style="27" customWidth="1"/>
    <col min="40" max="40" width="1.23046875" style="27" customWidth="1"/>
    <col min="41" max="42" width="2.15234375" style="27" customWidth="1"/>
    <col min="43" max="43" width="0.4609375" style="27" customWidth="1"/>
    <col min="44" max="44" width="1.4609375" style="27" customWidth="1"/>
    <col min="45" max="45" width="0.3828125" style="27" customWidth="1"/>
    <col min="46" max="46" width="0.4609375" style="27" customWidth="1"/>
    <col min="47" max="48" width="1.61328125" style="27" customWidth="1"/>
    <col min="49" max="49" width="0.3046875" style="27" customWidth="1"/>
    <col min="50" max="50" width="1.23046875" style="27" customWidth="1"/>
    <col min="51" max="51" width="0.3828125" style="27" customWidth="1"/>
    <col min="52" max="52" width="0.69140625" style="27" hidden="1" customWidth="1"/>
    <col min="53" max="53" width="4.921875" style="27" customWidth="1"/>
    <col min="54" max="54" width="3.4609375" style="27" customWidth="1"/>
    <col min="55" max="55" width="2.23046875" style="27" customWidth="1"/>
    <col min="56" max="56" width="0.4609375" style="27" customWidth="1"/>
    <col min="57" max="57" width="2.15234375" style="27" customWidth="1"/>
    <col min="58" max="58" width="1.23046875" style="25" customWidth="1"/>
    <col min="59" max="59" width="0.15234375" style="25" hidden="1" customWidth="1"/>
    <col min="60" max="60" width="6.61328125" style="25" hidden="1" customWidth="1"/>
    <col min="61" max="61" width="7.53515625" style="26" hidden="1" customWidth="1"/>
    <col min="62" max="62" width="0.3828125" style="25" hidden="1" customWidth="1"/>
    <col min="63" max="16384" width="8.765625" style="25"/>
  </cols>
  <sheetData>
    <row r="1" spans="1:61" ht="18" customHeight="1" x14ac:dyDescent="0.4">
      <c r="A1" s="279" t="s">
        <v>29</v>
      </c>
      <c r="B1" s="279"/>
      <c r="C1" s="279"/>
      <c r="D1" s="279"/>
      <c r="E1" s="279"/>
      <c r="F1" s="89"/>
      <c r="G1" s="89"/>
      <c r="H1" s="89"/>
      <c r="I1" s="92"/>
      <c r="J1" s="92"/>
      <c r="K1" s="92"/>
      <c r="L1" s="92"/>
      <c r="M1" s="89"/>
      <c r="N1" s="89"/>
      <c r="O1" s="89"/>
      <c r="P1" s="89"/>
      <c r="Q1" s="89"/>
      <c r="R1" s="92"/>
      <c r="S1" s="92"/>
      <c r="T1" s="92" t="s">
        <v>128</v>
      </c>
      <c r="U1" s="92"/>
      <c r="V1" s="92"/>
      <c r="W1" s="92"/>
      <c r="X1" s="92"/>
      <c r="Y1" s="92"/>
      <c r="Z1" s="92"/>
      <c r="AA1" s="92"/>
      <c r="AB1" s="92"/>
      <c r="AC1" s="89"/>
      <c r="AD1" s="89"/>
      <c r="AE1" s="100"/>
      <c r="AF1" s="100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</row>
    <row r="2" spans="1:61" ht="16.95" customHeight="1" x14ac:dyDescent="0.4">
      <c r="A2" s="279" t="s">
        <v>31</v>
      </c>
      <c r="B2" s="279"/>
      <c r="C2" s="279"/>
      <c r="D2" s="279"/>
      <c r="E2" s="279"/>
      <c r="F2" s="89"/>
      <c r="G2" s="89"/>
      <c r="H2" s="89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 t="s">
        <v>127</v>
      </c>
      <c r="W2" s="89"/>
      <c r="X2" s="89"/>
      <c r="Y2" s="89"/>
      <c r="Z2" s="89"/>
      <c r="AA2" s="280">
        <v>31</v>
      </c>
      <c r="AB2" s="280"/>
      <c r="AC2" s="89"/>
      <c r="AD2" s="89"/>
      <c r="AE2" s="168">
        <v>12</v>
      </c>
      <c r="AF2" s="280">
        <v>2025</v>
      </c>
      <c r="AG2" s="280"/>
      <c r="AH2" s="280"/>
      <c r="AI2" s="280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</row>
    <row r="3" spans="1:61" ht="15" customHeight="1" x14ac:dyDescent="0.35">
      <c r="A3" s="281"/>
      <c r="B3" s="281"/>
      <c r="C3" s="281"/>
      <c r="D3" s="281"/>
      <c r="E3" s="281"/>
      <c r="F3" s="89"/>
      <c r="G3" s="89"/>
      <c r="H3" s="89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</row>
    <row r="4" spans="1:61" ht="7.05" customHeight="1" x14ac:dyDescent="0.3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89"/>
      <c r="S4" s="89"/>
      <c r="T4" s="89"/>
      <c r="U4" s="89"/>
      <c r="V4" s="89"/>
      <c r="W4" s="92"/>
      <c r="X4" s="92"/>
      <c r="Y4" s="92"/>
      <c r="Z4" s="99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</row>
    <row r="5" spans="1:61" ht="18" customHeight="1" x14ac:dyDescent="0.3">
      <c r="A5" s="282" t="s">
        <v>126</v>
      </c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4"/>
      <c r="T5" s="285" t="s">
        <v>32</v>
      </c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7"/>
      <c r="BI5" s="91"/>
    </row>
    <row r="6" spans="1:61" ht="3.6" customHeight="1" x14ac:dyDescent="0.3">
      <c r="A6" s="18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80"/>
      <c r="U6" s="102"/>
      <c r="V6" s="102"/>
      <c r="W6" s="102"/>
      <c r="X6" s="102"/>
      <c r="Y6" s="102"/>
      <c r="Z6" s="102"/>
      <c r="AA6" s="102"/>
      <c r="AB6" s="102"/>
      <c r="AC6" s="102"/>
      <c r="AD6" s="179"/>
      <c r="AE6" s="102"/>
      <c r="AF6" s="102"/>
      <c r="AG6" s="102"/>
      <c r="AH6" s="102"/>
      <c r="AI6" s="102"/>
      <c r="AJ6" s="102"/>
      <c r="AK6" s="178"/>
      <c r="AL6" s="102"/>
      <c r="AM6" s="102"/>
      <c r="AN6" s="102"/>
      <c r="AO6" s="102"/>
      <c r="AP6" s="102"/>
      <c r="AQ6" s="102"/>
      <c r="AR6" s="294" t="s">
        <v>125</v>
      </c>
      <c r="AS6" s="294"/>
      <c r="AT6" s="294"/>
      <c r="AU6" s="294"/>
      <c r="AV6" s="294"/>
      <c r="AW6" s="102"/>
      <c r="AX6" s="102"/>
      <c r="AY6" s="102"/>
      <c r="AZ6" s="102"/>
      <c r="BA6" s="102"/>
      <c r="BB6" s="102"/>
      <c r="BC6" s="102"/>
      <c r="BD6" s="102"/>
      <c r="BE6" s="102"/>
      <c r="BF6" s="177"/>
      <c r="BI6" s="25"/>
    </row>
    <row r="7" spans="1:61" ht="14.55" customHeight="1" x14ac:dyDescent="0.3">
      <c r="A7" s="87"/>
      <c r="B7" s="293"/>
      <c r="C7" s="293"/>
      <c r="D7" s="86"/>
      <c r="E7" s="99"/>
      <c r="F7" s="99"/>
      <c r="G7" s="99"/>
      <c r="H7" s="99"/>
      <c r="I7" s="70"/>
      <c r="J7" s="70"/>
      <c r="K7" s="70"/>
      <c r="L7" s="70"/>
      <c r="M7" s="99"/>
      <c r="N7" s="99"/>
      <c r="O7" s="99"/>
      <c r="P7" s="99"/>
      <c r="Q7" s="99"/>
      <c r="R7" s="72"/>
      <c r="S7" s="72"/>
      <c r="T7" s="176"/>
      <c r="U7" s="38"/>
      <c r="V7" s="62"/>
      <c r="W7" s="38"/>
      <c r="X7" s="38"/>
      <c r="Y7" s="38"/>
      <c r="Z7" s="62"/>
      <c r="AA7" s="38"/>
      <c r="AB7" s="62"/>
      <c r="AC7" s="166"/>
      <c r="AD7" s="295" t="s">
        <v>33</v>
      </c>
      <c r="AE7" s="295"/>
      <c r="AF7" s="295"/>
      <c r="AG7" s="295"/>
      <c r="AH7" s="295"/>
      <c r="AI7" s="295"/>
      <c r="AJ7" s="295"/>
      <c r="AK7" s="295"/>
      <c r="AL7" s="295" t="s">
        <v>34</v>
      </c>
      <c r="AM7" s="295"/>
      <c r="AN7" s="295"/>
      <c r="AO7" s="295"/>
      <c r="AP7" s="295"/>
      <c r="AQ7" s="296"/>
      <c r="AR7" s="294"/>
      <c r="AS7" s="294"/>
      <c r="AT7" s="294"/>
      <c r="AU7" s="294"/>
      <c r="AV7" s="294"/>
      <c r="AW7" s="170"/>
      <c r="AX7" s="297" t="s">
        <v>124</v>
      </c>
      <c r="AY7" s="297"/>
      <c r="AZ7" s="297"/>
      <c r="BA7" s="297"/>
      <c r="BB7" s="288" t="s">
        <v>123</v>
      </c>
      <c r="BC7" s="288"/>
      <c r="BD7" s="170"/>
      <c r="BE7" s="175"/>
      <c r="BF7" s="173"/>
      <c r="BI7" s="25"/>
    </row>
    <row r="8" spans="1:61" ht="3.6" customHeight="1" x14ac:dyDescent="0.3">
      <c r="A8" s="87"/>
      <c r="B8" s="293"/>
      <c r="C8" s="293"/>
      <c r="D8" s="86"/>
      <c r="E8" s="99"/>
      <c r="F8" s="99"/>
      <c r="G8" s="99"/>
      <c r="H8" s="99"/>
      <c r="I8" s="70"/>
      <c r="J8" s="70"/>
      <c r="K8" s="70"/>
      <c r="L8" s="70"/>
      <c r="M8" s="99"/>
      <c r="N8" s="99"/>
      <c r="O8" s="99"/>
      <c r="P8" s="99"/>
      <c r="Q8" s="99"/>
      <c r="R8" s="72"/>
      <c r="S8" s="72"/>
      <c r="T8" s="79"/>
      <c r="U8" s="99"/>
      <c r="V8" s="70"/>
      <c r="W8" s="99"/>
      <c r="X8" s="41"/>
      <c r="Y8" s="41"/>
      <c r="Z8" s="71"/>
      <c r="AA8" s="41"/>
      <c r="AB8" s="71"/>
      <c r="AC8" s="174"/>
      <c r="AD8" s="70"/>
      <c r="AE8" s="70"/>
      <c r="AF8" s="70"/>
      <c r="AG8" s="70"/>
      <c r="AH8" s="298"/>
      <c r="AI8" s="70"/>
      <c r="AJ8" s="70"/>
      <c r="AK8" s="70"/>
      <c r="AL8" s="70"/>
      <c r="AM8" s="70"/>
      <c r="AN8" s="70"/>
      <c r="AO8" s="70"/>
      <c r="AP8" s="70"/>
      <c r="AQ8" s="41"/>
      <c r="AR8" s="294"/>
      <c r="AS8" s="294"/>
      <c r="AT8" s="294"/>
      <c r="AU8" s="294"/>
      <c r="AV8" s="294"/>
      <c r="AW8" s="170"/>
      <c r="AX8" s="170"/>
      <c r="AY8" s="170"/>
      <c r="AZ8" s="170"/>
      <c r="BA8" s="170"/>
      <c r="BB8" s="170"/>
      <c r="BC8" s="170"/>
      <c r="BD8" s="170"/>
      <c r="BE8" s="170"/>
      <c r="BF8" s="173"/>
      <c r="BI8" s="25"/>
    </row>
    <row r="9" spans="1:61" ht="13.8" customHeight="1" x14ac:dyDescent="0.4">
      <c r="A9" s="87"/>
      <c r="B9" s="300" t="s">
        <v>35</v>
      </c>
      <c r="C9" s="300"/>
      <c r="D9" s="300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172"/>
      <c r="T9" s="79"/>
      <c r="U9" s="72"/>
      <c r="V9" s="72"/>
      <c r="W9" s="72"/>
      <c r="X9" s="72"/>
      <c r="Y9" s="72"/>
      <c r="Z9" s="72"/>
      <c r="AA9" s="72"/>
      <c r="AB9" s="72"/>
      <c r="AC9" s="80"/>
      <c r="AD9" s="72"/>
      <c r="AE9" s="98"/>
      <c r="AF9" s="98"/>
      <c r="AG9" s="80"/>
      <c r="AH9" s="299"/>
      <c r="AI9" s="79"/>
      <c r="AJ9" s="76"/>
      <c r="AK9" s="72"/>
      <c r="AL9" s="72"/>
      <c r="AM9" s="72"/>
      <c r="AN9" s="72"/>
      <c r="AO9" s="72"/>
      <c r="AP9" s="72"/>
      <c r="AQ9" s="95"/>
      <c r="AR9" s="302">
        <v>1</v>
      </c>
      <c r="AS9" s="302"/>
      <c r="AT9" s="302"/>
      <c r="AU9" s="302"/>
      <c r="AV9" s="302"/>
      <c r="AW9" s="99"/>
      <c r="AX9" s="99"/>
      <c r="AY9" s="99"/>
      <c r="AZ9" s="99"/>
      <c r="BA9" s="99"/>
      <c r="BB9" s="288" t="s">
        <v>122</v>
      </c>
      <c r="BC9" s="288"/>
      <c r="BD9" s="99"/>
      <c r="BE9" s="46"/>
      <c r="BF9" s="68"/>
      <c r="BI9" s="25"/>
    </row>
    <row r="10" spans="1:61" ht="3" customHeight="1" x14ac:dyDescent="0.4">
      <c r="A10" s="87"/>
      <c r="B10" s="300"/>
      <c r="C10" s="300"/>
      <c r="D10" s="300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172"/>
      <c r="T10" s="79"/>
      <c r="U10" s="72"/>
      <c r="V10" s="72"/>
      <c r="W10" s="72"/>
      <c r="X10" s="72"/>
      <c r="Y10" s="72"/>
      <c r="Z10" s="72"/>
      <c r="AA10" s="72"/>
      <c r="AB10" s="72"/>
      <c r="AC10" s="80"/>
      <c r="AD10" s="72"/>
      <c r="AE10" s="289" t="s">
        <v>36</v>
      </c>
      <c r="AF10" s="289"/>
      <c r="AG10" s="290"/>
      <c r="AH10" s="291" t="s">
        <v>37</v>
      </c>
      <c r="AI10" s="79"/>
      <c r="AJ10" s="72"/>
      <c r="AK10" s="72"/>
      <c r="AL10" s="72"/>
      <c r="AM10" s="72"/>
      <c r="AN10" s="72"/>
      <c r="AO10" s="72"/>
      <c r="AP10" s="72"/>
      <c r="AQ10" s="95"/>
      <c r="AR10" s="294"/>
      <c r="AS10" s="294"/>
      <c r="AT10" s="294"/>
      <c r="AU10" s="294"/>
      <c r="AV10" s="294"/>
      <c r="AW10" s="39"/>
      <c r="AX10" s="38"/>
      <c r="AY10" s="38"/>
      <c r="AZ10" s="38"/>
      <c r="BA10" s="38"/>
      <c r="BB10" s="38"/>
      <c r="BC10" s="38"/>
      <c r="BD10" s="38"/>
      <c r="BE10" s="38"/>
      <c r="BF10" s="61"/>
      <c r="BI10" s="25"/>
    </row>
    <row r="11" spans="1:61" ht="11.55" customHeight="1" x14ac:dyDescent="0.4">
      <c r="A11" s="87"/>
      <c r="B11" s="300"/>
      <c r="C11" s="300"/>
      <c r="D11" s="300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172"/>
      <c r="T11" s="79"/>
      <c r="U11" s="72"/>
      <c r="V11" s="72"/>
      <c r="W11" s="72"/>
      <c r="X11" s="72"/>
      <c r="Y11" s="72"/>
      <c r="Z11" s="72"/>
      <c r="AA11" s="72"/>
      <c r="AB11" s="72"/>
      <c r="AC11" s="80"/>
      <c r="AD11" s="72"/>
      <c r="AE11" s="289"/>
      <c r="AF11" s="289"/>
      <c r="AG11" s="290"/>
      <c r="AH11" s="292"/>
      <c r="AI11" s="79"/>
      <c r="AJ11" s="76"/>
      <c r="AK11" s="79"/>
      <c r="AL11" s="72"/>
      <c r="AM11" s="72"/>
      <c r="AN11" s="72"/>
      <c r="AO11" s="72"/>
      <c r="AP11" s="72"/>
      <c r="AQ11" s="95"/>
      <c r="AR11" s="171"/>
      <c r="AS11" s="170"/>
      <c r="AT11" s="170"/>
      <c r="AU11" s="170"/>
      <c r="AV11" s="170"/>
      <c r="AW11" s="99"/>
      <c r="AX11" s="99"/>
      <c r="AY11" s="99"/>
      <c r="AZ11" s="99"/>
      <c r="BA11" s="99"/>
      <c r="BB11" s="99"/>
      <c r="BC11" s="99"/>
      <c r="BD11" s="99"/>
      <c r="BE11" s="99"/>
      <c r="BF11" s="68"/>
      <c r="BI11" s="25"/>
    </row>
    <row r="12" spans="1:61" ht="3" customHeight="1" x14ac:dyDescent="0.3">
      <c r="A12" s="87"/>
      <c r="B12" s="293"/>
      <c r="C12" s="293"/>
      <c r="D12" s="86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72"/>
      <c r="T12" s="79"/>
      <c r="U12" s="72"/>
      <c r="V12" s="72"/>
      <c r="W12" s="72"/>
      <c r="X12" s="72"/>
      <c r="Y12" s="72"/>
      <c r="Z12" s="72"/>
      <c r="AA12" s="72"/>
      <c r="AB12" s="72"/>
      <c r="AC12" s="80"/>
      <c r="AD12" s="72"/>
      <c r="AE12" s="289" t="s">
        <v>38</v>
      </c>
      <c r="AF12" s="289"/>
      <c r="AG12" s="290"/>
      <c r="AH12" s="291" t="s">
        <v>39</v>
      </c>
      <c r="AI12" s="79"/>
      <c r="AJ12" s="72"/>
      <c r="AK12" s="72"/>
      <c r="AL12" s="72"/>
      <c r="AM12" s="72"/>
      <c r="AN12" s="72"/>
      <c r="AO12" s="72"/>
      <c r="AP12" s="72"/>
      <c r="AQ12" s="95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68"/>
      <c r="BI12" s="25"/>
    </row>
    <row r="13" spans="1:61" ht="10.199999999999999" customHeight="1" x14ac:dyDescent="0.3">
      <c r="A13" s="87"/>
      <c r="B13" s="293"/>
      <c r="C13" s="293"/>
      <c r="D13" s="86"/>
      <c r="E13" s="99"/>
      <c r="F13" s="99"/>
      <c r="G13" s="99"/>
      <c r="H13" s="99"/>
      <c r="I13" s="70"/>
      <c r="J13" s="70"/>
      <c r="K13" s="70"/>
      <c r="L13" s="70"/>
      <c r="M13" s="99"/>
      <c r="N13" s="99"/>
      <c r="O13" s="99"/>
      <c r="P13" s="99"/>
      <c r="Q13" s="99"/>
      <c r="R13" s="72"/>
      <c r="S13" s="72"/>
      <c r="T13" s="79"/>
      <c r="U13" s="72"/>
      <c r="V13" s="72"/>
      <c r="W13" s="72"/>
      <c r="X13" s="72"/>
      <c r="Y13" s="72"/>
      <c r="Z13" s="72"/>
      <c r="AA13" s="72"/>
      <c r="AB13" s="72"/>
      <c r="AC13" s="80"/>
      <c r="AD13" s="72"/>
      <c r="AE13" s="289"/>
      <c r="AF13" s="289"/>
      <c r="AG13" s="290"/>
      <c r="AH13" s="292"/>
      <c r="AI13" s="79"/>
      <c r="AJ13" s="76"/>
      <c r="AK13" s="79"/>
      <c r="AL13" s="72"/>
      <c r="AM13" s="72"/>
      <c r="AN13" s="72"/>
      <c r="AO13" s="72"/>
      <c r="AP13" s="72"/>
      <c r="AQ13" s="95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68"/>
      <c r="BI13" s="25"/>
    </row>
    <row r="14" spans="1:61" ht="3" customHeight="1" x14ac:dyDescent="0.4">
      <c r="A14" s="87"/>
      <c r="B14" s="99"/>
      <c r="C14" s="99"/>
      <c r="D14" s="86"/>
      <c r="E14" s="99"/>
      <c r="F14" s="99"/>
      <c r="G14" s="90"/>
      <c r="H14" s="90"/>
      <c r="I14" s="90"/>
      <c r="J14" s="90"/>
      <c r="K14" s="90"/>
      <c r="L14" s="90"/>
      <c r="M14" s="89"/>
      <c r="N14" s="93">
        <v>2</v>
      </c>
      <c r="O14" s="93">
        <v>2</v>
      </c>
      <c r="P14" s="169"/>
      <c r="Q14" s="169"/>
      <c r="R14" s="72"/>
      <c r="S14" s="72"/>
      <c r="T14" s="79"/>
      <c r="U14" s="72"/>
      <c r="V14" s="72"/>
      <c r="W14" s="72"/>
      <c r="X14" s="72"/>
      <c r="Y14" s="72"/>
      <c r="Z14" s="72"/>
      <c r="AA14" s="72"/>
      <c r="AB14" s="72"/>
      <c r="AC14" s="80"/>
      <c r="AD14" s="72"/>
      <c r="AE14" s="289" t="s">
        <v>121</v>
      </c>
      <c r="AF14" s="289"/>
      <c r="AG14" s="290"/>
      <c r="AH14" s="291" t="s">
        <v>40</v>
      </c>
      <c r="AI14" s="79"/>
      <c r="AJ14" s="72"/>
      <c r="AK14" s="72"/>
      <c r="AL14" s="72"/>
      <c r="AM14" s="72"/>
      <c r="AN14" s="72"/>
      <c r="AO14" s="72"/>
      <c r="AP14" s="72"/>
      <c r="AQ14" s="95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68"/>
      <c r="BI14" s="25"/>
    </row>
    <row r="15" spans="1:61" ht="13.8" customHeight="1" x14ac:dyDescent="0.4">
      <c r="A15" s="87"/>
      <c r="B15" s="300" t="s">
        <v>41</v>
      </c>
      <c r="C15" s="300"/>
      <c r="D15" s="300"/>
      <c r="E15" s="99"/>
      <c r="F15" s="99"/>
      <c r="G15" s="303"/>
      <c r="H15" s="279"/>
      <c r="I15" s="279"/>
      <c r="J15" s="90"/>
      <c r="K15" s="279"/>
      <c r="L15" s="279"/>
      <c r="M15" s="89"/>
      <c r="N15" s="303"/>
      <c r="O15" s="279"/>
      <c r="P15" s="169"/>
      <c r="Q15" s="169"/>
      <c r="R15" s="72"/>
      <c r="S15" s="80"/>
      <c r="T15" s="72"/>
      <c r="U15" s="97"/>
      <c r="V15" s="97"/>
      <c r="W15" s="97"/>
      <c r="X15" s="72"/>
      <c r="Y15" s="97"/>
      <c r="Z15" s="97"/>
      <c r="AA15" s="97"/>
      <c r="AB15" s="97"/>
      <c r="AC15" s="80"/>
      <c r="AD15" s="72"/>
      <c r="AE15" s="289"/>
      <c r="AF15" s="289"/>
      <c r="AG15" s="290"/>
      <c r="AH15" s="292"/>
      <c r="AI15" s="79"/>
      <c r="AJ15" s="76"/>
      <c r="AK15" s="72"/>
      <c r="AL15" s="51"/>
      <c r="AM15" s="51"/>
      <c r="AN15" s="72"/>
      <c r="AO15" s="51"/>
      <c r="AP15" s="51"/>
      <c r="AQ15" s="95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68"/>
      <c r="BI15" s="25"/>
    </row>
    <row r="16" spans="1:61" ht="7.05" customHeight="1" x14ac:dyDescent="0.4">
      <c r="A16" s="87"/>
      <c r="B16" s="300"/>
      <c r="C16" s="300"/>
      <c r="D16" s="300"/>
      <c r="E16" s="99"/>
      <c r="F16" s="99"/>
      <c r="G16" s="279"/>
      <c r="H16" s="279"/>
      <c r="I16" s="279"/>
      <c r="J16" s="90"/>
      <c r="K16" s="279"/>
      <c r="L16" s="279"/>
      <c r="M16" s="89"/>
      <c r="N16" s="279"/>
      <c r="O16" s="279"/>
      <c r="P16" s="169"/>
      <c r="Q16" s="169"/>
      <c r="R16" s="72"/>
      <c r="S16" s="80"/>
      <c r="T16" s="72"/>
      <c r="U16" s="99"/>
      <c r="V16" s="70"/>
      <c r="W16" s="99"/>
      <c r="X16" s="99"/>
      <c r="Y16" s="99"/>
      <c r="Z16" s="70"/>
      <c r="AA16" s="99"/>
      <c r="AB16" s="70"/>
      <c r="AC16" s="80"/>
      <c r="AD16" s="72"/>
      <c r="AE16" s="289" t="s">
        <v>42</v>
      </c>
      <c r="AF16" s="289"/>
      <c r="AG16" s="290"/>
      <c r="AH16" s="291" t="s">
        <v>43</v>
      </c>
      <c r="AI16" s="79"/>
      <c r="AJ16" s="88"/>
      <c r="AK16" s="72"/>
      <c r="AL16" s="72"/>
      <c r="AM16" s="72"/>
      <c r="AN16" s="72"/>
      <c r="AO16" s="72"/>
      <c r="AP16" s="72"/>
      <c r="AQ16" s="95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68"/>
      <c r="BI16" s="25"/>
    </row>
    <row r="17" spans="1:61" ht="12.45" customHeight="1" x14ac:dyDescent="0.3">
      <c r="A17" s="87"/>
      <c r="B17" s="300"/>
      <c r="C17" s="300"/>
      <c r="D17" s="300"/>
      <c r="E17" s="99"/>
      <c r="F17" s="99"/>
      <c r="G17" s="82"/>
      <c r="H17" s="84"/>
      <c r="I17" s="84"/>
      <c r="J17" s="85"/>
      <c r="K17" s="82"/>
      <c r="L17" s="84"/>
      <c r="M17" s="83"/>
      <c r="N17" s="82"/>
      <c r="O17" s="81"/>
      <c r="P17" s="168"/>
      <c r="Q17" s="168"/>
      <c r="R17" s="72"/>
      <c r="S17" s="80"/>
      <c r="T17" s="72"/>
      <c r="U17" s="78"/>
      <c r="V17" s="78"/>
      <c r="W17" s="78"/>
      <c r="X17" s="77"/>
      <c r="Y17" s="304"/>
      <c r="Z17" s="304"/>
      <c r="AA17" s="304"/>
      <c r="AB17" s="304"/>
      <c r="AC17" s="69"/>
      <c r="AD17" s="70"/>
      <c r="AE17" s="289"/>
      <c r="AF17" s="289"/>
      <c r="AG17" s="290"/>
      <c r="AH17" s="292"/>
      <c r="AI17" s="70"/>
      <c r="AJ17" s="76"/>
      <c r="AK17" s="70"/>
      <c r="AL17" s="305" t="s">
        <v>44</v>
      </c>
      <c r="AM17" s="305"/>
      <c r="AN17" s="70"/>
      <c r="AO17" s="305" t="s">
        <v>19</v>
      </c>
      <c r="AP17" s="305"/>
      <c r="AQ17" s="95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68"/>
      <c r="BI17" s="25"/>
    </row>
    <row r="18" spans="1:61" ht="1.05" hidden="1" customHeight="1" x14ac:dyDescent="0.3">
      <c r="A18" s="75"/>
      <c r="B18" s="300"/>
      <c r="C18" s="300"/>
      <c r="D18" s="300"/>
      <c r="E18" s="73"/>
      <c r="F18" s="73"/>
      <c r="G18" s="73"/>
      <c r="H18" s="73"/>
      <c r="I18" s="74"/>
      <c r="J18" s="74"/>
      <c r="K18" s="74"/>
      <c r="L18" s="74"/>
      <c r="M18" s="73"/>
      <c r="N18" s="73"/>
      <c r="O18" s="73"/>
      <c r="P18" s="53"/>
      <c r="Q18" s="53"/>
      <c r="R18" s="167"/>
      <c r="S18" s="80"/>
      <c r="T18" s="72"/>
      <c r="U18" s="99"/>
      <c r="V18" s="70"/>
      <c r="W18" s="99"/>
      <c r="X18" s="99"/>
      <c r="Y18" s="99"/>
      <c r="Z18" s="70"/>
      <c r="AA18" s="99"/>
      <c r="AB18" s="70"/>
      <c r="AC18" s="69"/>
      <c r="AD18" s="70"/>
      <c r="AE18" s="70"/>
      <c r="AF18" s="70"/>
      <c r="AG18" s="70"/>
      <c r="AH18" s="71"/>
      <c r="AI18" s="70"/>
      <c r="AJ18" s="70"/>
      <c r="AK18" s="70"/>
      <c r="AL18" s="70"/>
      <c r="AM18" s="70"/>
      <c r="AN18" s="70"/>
      <c r="AO18" s="70"/>
      <c r="AP18" s="69"/>
      <c r="AQ18" s="95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68"/>
      <c r="BI18" s="25"/>
    </row>
    <row r="19" spans="1:61" ht="6" customHeight="1" x14ac:dyDescent="0.3">
      <c r="A19" s="67"/>
      <c r="B19" s="38"/>
      <c r="C19" s="38"/>
      <c r="D19" s="66"/>
      <c r="E19" s="38"/>
      <c r="F19" s="38"/>
      <c r="G19" s="38"/>
      <c r="H19" s="38"/>
      <c r="I19" s="62"/>
      <c r="J19" s="62"/>
      <c r="K19" s="62"/>
      <c r="L19" s="62"/>
      <c r="M19" s="38"/>
      <c r="N19" s="38"/>
      <c r="O19" s="38"/>
      <c r="P19" s="38"/>
      <c r="Q19" s="38"/>
      <c r="R19" s="64"/>
      <c r="S19" s="65"/>
      <c r="T19" s="64"/>
      <c r="U19" s="62"/>
      <c r="V19" s="62"/>
      <c r="W19" s="62"/>
      <c r="X19" s="38"/>
      <c r="Y19" s="63"/>
      <c r="Z19" s="63"/>
      <c r="AA19" s="38"/>
      <c r="AB19" s="62"/>
      <c r="AC19" s="166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37"/>
      <c r="AR19" s="39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61"/>
      <c r="BI19" s="60"/>
    </row>
    <row r="20" spans="1:61" ht="16.05" customHeight="1" x14ac:dyDescent="0.3">
      <c r="A20" s="59"/>
      <c r="B20" s="306" t="s">
        <v>45</v>
      </c>
      <c r="C20" s="308" t="s">
        <v>46</v>
      </c>
      <c r="D20" s="309"/>
      <c r="E20" s="310"/>
      <c r="F20" s="314" t="s">
        <v>47</v>
      </c>
      <c r="G20" s="315"/>
      <c r="H20" s="315"/>
      <c r="I20" s="315"/>
      <c r="J20" s="315"/>
      <c r="K20" s="315"/>
      <c r="L20" s="315"/>
      <c r="M20" s="316"/>
      <c r="N20" s="320" t="s">
        <v>48</v>
      </c>
      <c r="O20" s="321"/>
      <c r="P20" s="314" t="s">
        <v>49</v>
      </c>
      <c r="Q20" s="315"/>
      <c r="R20" s="315"/>
      <c r="S20" s="316"/>
      <c r="T20" s="124"/>
      <c r="U20" s="41" t="s">
        <v>120</v>
      </c>
      <c r="V20" s="41"/>
      <c r="W20" s="41"/>
      <c r="X20" s="41"/>
      <c r="Y20" s="41"/>
      <c r="Z20" s="41"/>
      <c r="AA20" s="41"/>
      <c r="AB20" s="41"/>
      <c r="AC20" s="40"/>
      <c r="AD20" s="324" t="s">
        <v>119</v>
      </c>
      <c r="AE20" s="324"/>
      <c r="AF20" s="324"/>
      <c r="AG20" s="324"/>
      <c r="AH20" s="324"/>
      <c r="AI20" s="324"/>
      <c r="AJ20" s="324"/>
      <c r="AK20" s="324"/>
      <c r="AL20" s="324"/>
      <c r="AM20" s="324"/>
      <c r="AN20" s="324"/>
      <c r="AO20" s="324"/>
      <c r="AP20" s="324"/>
      <c r="AQ20" s="324"/>
      <c r="AR20" s="324"/>
      <c r="AS20" s="324"/>
      <c r="AT20" s="324"/>
      <c r="AU20" s="324"/>
      <c r="AV20" s="324"/>
      <c r="AW20" s="324"/>
      <c r="AX20" s="324"/>
      <c r="AY20" s="325"/>
      <c r="AZ20" s="56"/>
      <c r="BA20" s="58"/>
      <c r="BB20" s="58"/>
      <c r="BC20" s="58"/>
      <c r="BD20" s="58"/>
      <c r="BE20" s="58"/>
      <c r="BF20" s="165"/>
    </row>
    <row r="21" spans="1:61" ht="21.45" customHeight="1" x14ac:dyDescent="0.3">
      <c r="A21" s="36"/>
      <c r="B21" s="307"/>
      <c r="C21" s="311"/>
      <c r="D21" s="312"/>
      <c r="E21" s="313"/>
      <c r="F21" s="317"/>
      <c r="G21" s="318"/>
      <c r="H21" s="318"/>
      <c r="I21" s="318"/>
      <c r="J21" s="318"/>
      <c r="K21" s="318"/>
      <c r="L21" s="318"/>
      <c r="M21" s="319"/>
      <c r="N21" s="322"/>
      <c r="O21" s="323"/>
      <c r="P21" s="317"/>
      <c r="Q21" s="318"/>
      <c r="R21" s="318"/>
      <c r="S21" s="319"/>
      <c r="T21" s="326"/>
      <c r="U21" s="327"/>
      <c r="V21" s="327"/>
      <c r="W21" s="327"/>
      <c r="X21" s="327" t="s">
        <v>51</v>
      </c>
      <c r="Y21" s="327"/>
      <c r="Z21" s="327"/>
      <c r="AA21" s="327"/>
      <c r="AB21" s="327"/>
      <c r="AC21" s="37"/>
      <c r="AD21" s="324" t="s">
        <v>52</v>
      </c>
      <c r="AE21" s="324"/>
      <c r="AF21" s="324"/>
      <c r="AG21" s="324"/>
      <c r="AH21" s="324"/>
      <c r="AI21" s="324"/>
      <c r="AJ21" s="324"/>
      <c r="AK21" s="325"/>
      <c r="AL21" s="330" t="s">
        <v>50</v>
      </c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5"/>
      <c r="AZ21" s="330" t="s">
        <v>53</v>
      </c>
      <c r="BA21" s="324"/>
      <c r="BB21" s="324"/>
      <c r="BC21" s="324"/>
      <c r="BD21" s="324"/>
      <c r="BE21" s="324"/>
      <c r="BF21" s="164"/>
    </row>
    <row r="22" spans="1:61" ht="7.05" customHeight="1" x14ac:dyDescent="0.3">
      <c r="A22" s="36"/>
      <c r="B22" s="339" t="s">
        <v>27</v>
      </c>
      <c r="C22" s="347"/>
      <c r="D22" s="348"/>
      <c r="E22" s="349"/>
      <c r="F22" s="146"/>
      <c r="G22" s="132"/>
      <c r="H22" s="132"/>
      <c r="I22" s="132"/>
      <c r="J22" s="132"/>
      <c r="K22" s="132"/>
      <c r="L22" s="132"/>
      <c r="M22" s="145"/>
      <c r="N22" s="331">
        <v>0.11</v>
      </c>
      <c r="O22" s="332"/>
      <c r="P22" s="163"/>
      <c r="Q22" s="162"/>
      <c r="R22" s="162"/>
      <c r="S22" s="161"/>
      <c r="T22" s="124"/>
      <c r="U22" s="41"/>
      <c r="V22" s="115"/>
      <c r="W22" s="41"/>
      <c r="X22" s="115"/>
      <c r="Y22" s="41"/>
      <c r="Z22" s="115"/>
      <c r="AA22" s="41"/>
      <c r="AB22" s="115"/>
      <c r="AC22" s="118"/>
      <c r="AD22" s="115"/>
      <c r="AE22" s="115"/>
      <c r="AF22" s="115"/>
      <c r="AG22" s="115"/>
      <c r="AH22" s="115"/>
      <c r="AI22" s="115"/>
      <c r="AJ22" s="115"/>
      <c r="AK22" s="125"/>
      <c r="AL22" s="112"/>
      <c r="AM22" s="112"/>
      <c r="AN22" s="112"/>
      <c r="AO22" s="112"/>
      <c r="AP22" s="112"/>
      <c r="AQ22" s="99"/>
      <c r="AR22" s="99"/>
      <c r="AS22" s="99"/>
      <c r="AT22" s="99"/>
      <c r="AU22" s="99"/>
      <c r="AV22" s="99"/>
      <c r="AW22" s="99"/>
      <c r="AX22" s="41"/>
      <c r="AY22" s="40"/>
      <c r="AZ22" s="99"/>
      <c r="BA22" s="99"/>
      <c r="BB22" s="99"/>
      <c r="BC22" s="99"/>
      <c r="BD22" s="99"/>
      <c r="BE22" s="99"/>
      <c r="BF22" s="111"/>
    </row>
    <row r="23" spans="1:61" ht="13.95" customHeight="1" x14ac:dyDescent="0.3">
      <c r="A23" s="36"/>
      <c r="B23" s="340"/>
      <c r="C23" s="350"/>
      <c r="D23" s="336"/>
      <c r="E23" s="351"/>
      <c r="F23" s="143"/>
      <c r="G23" s="144"/>
      <c r="H23" s="144"/>
      <c r="I23" s="144"/>
      <c r="J23" s="144"/>
      <c r="K23" s="144"/>
      <c r="L23" s="144"/>
      <c r="M23" s="142"/>
      <c r="N23" s="333"/>
      <c r="O23" s="334"/>
      <c r="P23" s="157"/>
      <c r="Q23" s="156"/>
      <c r="R23" s="156"/>
      <c r="S23" s="155"/>
      <c r="T23" s="117"/>
      <c r="U23" s="99"/>
      <c r="V23" s="112"/>
      <c r="W23" s="99"/>
      <c r="X23" s="112"/>
      <c r="Y23" s="45"/>
      <c r="Z23" s="45"/>
      <c r="AA23" s="53"/>
      <c r="AB23" s="134"/>
      <c r="AC23" s="118"/>
      <c r="AD23" s="112"/>
      <c r="AE23" s="112"/>
      <c r="AF23" s="112"/>
      <c r="AG23" s="112"/>
      <c r="AH23" s="112"/>
      <c r="AI23" s="112"/>
      <c r="AJ23" s="112"/>
      <c r="AK23" s="118"/>
      <c r="AL23" s="112"/>
      <c r="AM23" s="112"/>
      <c r="AN23" s="112"/>
      <c r="AO23" s="112"/>
      <c r="AP23" s="112"/>
      <c r="AQ23" s="99"/>
      <c r="AR23" s="99"/>
      <c r="AS23" s="99"/>
      <c r="AT23" s="99"/>
      <c r="AU23" s="45"/>
      <c r="AV23" s="45"/>
      <c r="AW23" s="47"/>
      <c r="AX23" s="46"/>
      <c r="AY23" s="95"/>
      <c r="AZ23" s="99"/>
      <c r="BA23" s="99"/>
      <c r="BB23" s="99"/>
      <c r="BC23" s="99"/>
      <c r="BD23" s="99"/>
      <c r="BE23" s="99"/>
      <c r="BF23" s="111"/>
    </row>
    <row r="24" spans="1:61" ht="9" customHeight="1" x14ac:dyDescent="0.3">
      <c r="A24" s="36"/>
      <c r="B24" s="340"/>
      <c r="C24" s="350"/>
      <c r="D24" s="336"/>
      <c r="E24" s="351"/>
      <c r="F24" s="143"/>
      <c r="G24" s="144"/>
      <c r="H24" s="144"/>
      <c r="I24" s="144"/>
      <c r="J24" s="144"/>
      <c r="K24" s="144"/>
      <c r="L24" s="144"/>
      <c r="M24" s="142"/>
      <c r="N24" s="333"/>
      <c r="O24" s="334"/>
      <c r="P24" s="157"/>
      <c r="Q24" s="136"/>
      <c r="R24" s="136"/>
      <c r="S24" s="155"/>
      <c r="T24" s="117"/>
      <c r="U24" s="99"/>
      <c r="V24" s="112"/>
      <c r="W24" s="99"/>
      <c r="X24" s="112"/>
      <c r="Y24" s="99"/>
      <c r="Z24" s="99"/>
      <c r="AA24" s="99"/>
      <c r="AB24" s="112"/>
      <c r="AC24" s="118"/>
      <c r="AD24" s="112"/>
      <c r="AE24" s="335"/>
      <c r="AF24" s="335"/>
      <c r="AG24" s="335"/>
      <c r="AH24" s="335"/>
      <c r="AI24" s="335"/>
      <c r="AJ24" s="112"/>
      <c r="AK24" s="118"/>
      <c r="AL24" s="112"/>
      <c r="AM24" s="112"/>
      <c r="AN24" s="112"/>
      <c r="AO24" s="112"/>
      <c r="AP24" s="112"/>
      <c r="AQ24" s="99"/>
      <c r="AR24" s="99"/>
      <c r="AS24" s="99"/>
      <c r="AT24" s="99"/>
      <c r="AU24" s="99"/>
      <c r="AV24" s="99"/>
      <c r="AW24" s="99"/>
      <c r="AX24" s="99"/>
      <c r="AY24" s="95"/>
      <c r="AZ24" s="99"/>
      <c r="BA24" s="99"/>
      <c r="BB24" s="99"/>
      <c r="BC24" s="99"/>
      <c r="BD24" s="99"/>
      <c r="BE24" s="99"/>
      <c r="BF24" s="111"/>
    </row>
    <row r="25" spans="1:61" ht="13.95" customHeight="1" x14ac:dyDescent="0.4">
      <c r="A25" s="36"/>
      <c r="B25" s="340"/>
      <c r="C25" s="350"/>
      <c r="D25" s="336"/>
      <c r="E25" s="351"/>
      <c r="F25" s="143"/>
      <c r="G25" s="336"/>
      <c r="H25" s="336"/>
      <c r="I25" s="336"/>
      <c r="J25" s="336"/>
      <c r="K25" s="336"/>
      <c r="L25" s="336"/>
      <c r="M25" s="142"/>
      <c r="N25" s="333"/>
      <c r="O25" s="334"/>
      <c r="P25" s="157"/>
      <c r="Q25" s="336"/>
      <c r="R25" s="336"/>
      <c r="S25" s="155"/>
      <c r="T25" s="117"/>
      <c r="U25" s="99"/>
      <c r="V25" s="112"/>
      <c r="W25" s="99"/>
      <c r="X25" s="112"/>
      <c r="Y25" s="49">
        <v>1</v>
      </c>
      <c r="Z25" s="49">
        <v>0</v>
      </c>
      <c r="AA25" s="53"/>
      <c r="AB25" s="134"/>
      <c r="AC25" s="118"/>
      <c r="AD25" s="112"/>
      <c r="AE25" s="112"/>
      <c r="AF25" s="112"/>
      <c r="AG25" s="112"/>
      <c r="AH25" s="337"/>
      <c r="AI25" s="337"/>
      <c r="AJ25" s="112"/>
      <c r="AK25" s="118"/>
      <c r="AL25" s="112"/>
      <c r="AM25" s="112"/>
      <c r="AN25" s="112"/>
      <c r="AO25" s="112"/>
      <c r="AP25" s="112"/>
      <c r="AQ25" s="99"/>
      <c r="AR25" s="99"/>
      <c r="AS25" s="99"/>
      <c r="AT25" s="99"/>
      <c r="AU25" s="104">
        <v>7</v>
      </c>
      <c r="AV25" s="104">
        <v>0</v>
      </c>
      <c r="AW25" s="47">
        <v>0</v>
      </c>
      <c r="AX25" s="46"/>
      <c r="AY25" s="95"/>
      <c r="AZ25" s="99"/>
      <c r="BA25" s="99"/>
      <c r="BB25" s="99"/>
      <c r="BC25" s="99"/>
      <c r="BD25" s="99"/>
      <c r="BE25" s="99"/>
      <c r="BF25" s="111"/>
    </row>
    <row r="26" spans="1:61" ht="10.8" customHeight="1" x14ac:dyDescent="0.3">
      <c r="A26" s="36"/>
      <c r="B26" s="340"/>
      <c r="C26" s="350"/>
      <c r="D26" s="336"/>
      <c r="E26" s="351"/>
      <c r="F26" s="143"/>
      <c r="G26" s="336"/>
      <c r="H26" s="336"/>
      <c r="I26" s="336"/>
      <c r="J26" s="336"/>
      <c r="K26" s="336"/>
      <c r="L26" s="336"/>
      <c r="M26" s="142"/>
      <c r="N26" s="333"/>
      <c r="O26" s="334"/>
      <c r="P26" s="157"/>
      <c r="Q26" s="336"/>
      <c r="R26" s="336"/>
      <c r="S26" s="155"/>
      <c r="T26" s="117"/>
      <c r="U26" s="99"/>
      <c r="V26" s="112"/>
      <c r="W26" s="99"/>
      <c r="X26" s="112"/>
      <c r="Y26" s="43"/>
      <c r="Z26" s="160"/>
      <c r="AA26" s="99"/>
      <c r="AB26" s="112"/>
      <c r="AC26" s="118"/>
      <c r="AD26" s="112"/>
      <c r="AE26" s="126"/>
      <c r="AF26" s="126"/>
      <c r="AG26" s="112"/>
      <c r="AH26" s="344"/>
      <c r="AI26" s="344"/>
      <c r="AJ26" s="112"/>
      <c r="AK26" s="118"/>
      <c r="AL26" s="112"/>
      <c r="AM26" s="112"/>
      <c r="AN26" s="112"/>
      <c r="AO26" s="112"/>
      <c r="AP26" s="112"/>
      <c r="AQ26" s="99"/>
      <c r="AR26" s="99"/>
      <c r="AS26" s="99"/>
      <c r="AT26" s="99"/>
      <c r="AU26" s="107"/>
      <c r="AV26" s="107"/>
      <c r="AW26" s="99"/>
      <c r="AX26" s="99"/>
      <c r="AY26" s="95"/>
      <c r="AZ26" s="99"/>
      <c r="BA26" s="99"/>
      <c r="BB26" s="99"/>
      <c r="BC26" s="99"/>
      <c r="BD26" s="99"/>
      <c r="BE26" s="99"/>
      <c r="BF26" s="111"/>
    </row>
    <row r="27" spans="1:61" ht="11.4" customHeight="1" x14ac:dyDescent="0.3">
      <c r="A27" s="36"/>
      <c r="B27" s="340"/>
      <c r="C27" s="350"/>
      <c r="D27" s="336"/>
      <c r="E27" s="351"/>
      <c r="F27" s="143"/>
      <c r="G27" s="345"/>
      <c r="H27" s="345"/>
      <c r="I27" s="345"/>
      <c r="J27" s="345"/>
      <c r="K27" s="345"/>
      <c r="L27" s="345"/>
      <c r="M27" s="142"/>
      <c r="N27" s="333"/>
      <c r="O27" s="334"/>
      <c r="P27" s="157"/>
      <c r="Q27" s="345"/>
      <c r="R27" s="345"/>
      <c r="S27" s="155"/>
      <c r="T27" s="117"/>
      <c r="U27" s="99"/>
      <c r="V27" s="112"/>
      <c r="W27" s="99"/>
      <c r="X27" s="118"/>
      <c r="Y27" s="49">
        <v>1</v>
      </c>
      <c r="Z27" s="49">
        <v>1</v>
      </c>
      <c r="AA27" s="48"/>
      <c r="AB27" s="134"/>
      <c r="AC27" s="118"/>
      <c r="AD27" s="112"/>
      <c r="AE27" s="112"/>
      <c r="AF27" s="346"/>
      <c r="AG27" s="346"/>
      <c r="AH27" s="346"/>
      <c r="AI27" s="346"/>
      <c r="AJ27" s="346"/>
      <c r="AK27" s="118"/>
      <c r="AL27" s="112"/>
      <c r="AM27" s="112"/>
      <c r="AN27" s="112"/>
      <c r="AO27" s="112"/>
      <c r="AP27" s="112"/>
      <c r="AQ27" s="99"/>
      <c r="AR27" s="99"/>
      <c r="AS27" s="99"/>
      <c r="AT27" s="99"/>
      <c r="AU27" s="104">
        <v>7</v>
      </c>
      <c r="AV27" s="104">
        <v>7</v>
      </c>
      <c r="AW27" s="47">
        <v>7</v>
      </c>
      <c r="AX27" s="46"/>
      <c r="AY27" s="95"/>
      <c r="AZ27" s="99"/>
      <c r="BA27" s="94"/>
      <c r="BB27" s="94"/>
      <c r="BC27" s="328"/>
      <c r="BD27" s="329"/>
      <c r="BE27" s="159">
        <v>3</v>
      </c>
      <c r="BF27" s="158"/>
    </row>
    <row r="28" spans="1:61" ht="10.5" customHeight="1" x14ac:dyDescent="0.3">
      <c r="A28" s="36"/>
      <c r="B28" s="340"/>
      <c r="C28" s="350"/>
      <c r="D28" s="336"/>
      <c r="E28" s="351"/>
      <c r="F28" s="143"/>
      <c r="G28" s="144"/>
      <c r="H28" s="144"/>
      <c r="I28" s="144"/>
      <c r="J28" s="144"/>
      <c r="K28" s="144"/>
      <c r="L28" s="144"/>
      <c r="M28" s="142"/>
      <c r="N28" s="333"/>
      <c r="O28" s="334"/>
      <c r="P28" s="157"/>
      <c r="Q28" s="156"/>
      <c r="R28" s="156"/>
      <c r="S28" s="155"/>
      <c r="T28" s="117"/>
      <c r="U28" s="45"/>
      <c r="V28" s="338"/>
      <c r="W28" s="338"/>
      <c r="X28" s="112"/>
      <c r="Y28" s="52"/>
      <c r="Z28" s="52"/>
      <c r="AA28" s="99"/>
      <c r="AB28" s="112"/>
      <c r="AC28" s="118"/>
      <c r="AD28" s="112"/>
      <c r="AE28" s="148"/>
      <c r="AF28" s="338"/>
      <c r="AG28" s="338"/>
      <c r="AH28" s="338"/>
      <c r="AI28" s="338"/>
      <c r="AJ28" s="338"/>
      <c r="AK28" s="118"/>
      <c r="AL28" s="112"/>
      <c r="AM28" s="338"/>
      <c r="AN28" s="338"/>
      <c r="AO28" s="338"/>
      <c r="AP28" s="338"/>
      <c r="AQ28" s="338"/>
      <c r="AR28" s="338"/>
      <c r="AS28" s="338"/>
      <c r="AT28" s="99"/>
      <c r="AU28" s="99"/>
      <c r="AV28" s="99"/>
      <c r="AW28" s="99"/>
      <c r="AX28" s="99"/>
      <c r="AY28" s="95"/>
      <c r="AZ28" s="99"/>
      <c r="BA28" s="99"/>
      <c r="BB28" s="99"/>
      <c r="BC28" s="99"/>
      <c r="BD28" s="99"/>
      <c r="BE28" s="99"/>
      <c r="BF28" s="111"/>
    </row>
    <row r="29" spans="1:61" ht="4.05" customHeight="1" x14ac:dyDescent="0.4">
      <c r="A29" s="36"/>
      <c r="B29" s="341"/>
      <c r="C29" s="352"/>
      <c r="D29" s="353"/>
      <c r="E29" s="354"/>
      <c r="F29" s="141"/>
      <c r="G29" s="128"/>
      <c r="H29" s="128"/>
      <c r="I29" s="128"/>
      <c r="J29" s="128"/>
      <c r="K29" s="128"/>
      <c r="L29" s="128"/>
      <c r="M29" s="140"/>
      <c r="N29" s="154"/>
      <c r="O29" s="153"/>
      <c r="P29" s="152"/>
      <c r="Q29" s="151"/>
      <c r="R29" s="151"/>
      <c r="S29" s="150"/>
      <c r="T29" s="122"/>
      <c r="U29" s="38"/>
      <c r="V29" s="121"/>
      <c r="W29" s="38"/>
      <c r="X29" s="121"/>
      <c r="Y29" s="55"/>
      <c r="Z29" s="55"/>
      <c r="AA29" s="38"/>
      <c r="AB29" s="121"/>
      <c r="AC29" s="123"/>
      <c r="AD29" s="121"/>
      <c r="AE29" s="121"/>
      <c r="AF29" s="121"/>
      <c r="AG29" s="121"/>
      <c r="AH29" s="121"/>
      <c r="AI29" s="121"/>
      <c r="AJ29" s="121"/>
      <c r="AK29" s="123"/>
      <c r="AL29" s="122"/>
      <c r="AM29" s="121"/>
      <c r="AN29" s="121"/>
      <c r="AO29" s="121"/>
      <c r="AP29" s="121"/>
      <c r="AQ29" s="38"/>
      <c r="AR29" s="38"/>
      <c r="AS29" s="38"/>
      <c r="AT29" s="38"/>
      <c r="AU29" s="38"/>
      <c r="AV29" s="38"/>
      <c r="AW29" s="38"/>
      <c r="AX29" s="38"/>
      <c r="AY29" s="37"/>
      <c r="AZ29" s="38"/>
      <c r="BA29" s="38"/>
      <c r="BB29" s="38"/>
      <c r="BC29" s="38"/>
      <c r="BD29" s="38"/>
      <c r="BE29" s="38"/>
      <c r="BF29" s="147"/>
    </row>
    <row r="30" spans="1:61" ht="6.45" customHeight="1" x14ac:dyDescent="0.3">
      <c r="A30" s="36"/>
      <c r="B30" s="339" t="s">
        <v>54</v>
      </c>
      <c r="C30" s="347"/>
      <c r="D30" s="348"/>
      <c r="E30" s="349"/>
      <c r="F30" s="132"/>
      <c r="G30" s="132"/>
      <c r="H30" s="132"/>
      <c r="I30" s="132"/>
      <c r="J30" s="132"/>
      <c r="K30" s="132"/>
      <c r="L30" s="132"/>
      <c r="M30" s="145"/>
      <c r="N30" s="368" t="s">
        <v>55</v>
      </c>
      <c r="O30" s="369"/>
      <c r="P30" s="146"/>
      <c r="Q30" s="132"/>
      <c r="R30" s="132"/>
      <c r="S30" s="145"/>
      <c r="T30" s="124"/>
      <c r="U30" s="41"/>
      <c r="V30" s="115"/>
      <c r="W30" s="41"/>
      <c r="X30" s="115"/>
      <c r="Y30" s="54"/>
      <c r="Z30" s="54"/>
      <c r="AA30" s="41"/>
      <c r="AB30" s="115"/>
      <c r="AC30" s="125"/>
      <c r="AD30" s="115"/>
      <c r="AE30" s="115"/>
      <c r="AF30" s="115"/>
      <c r="AG30" s="115"/>
      <c r="AH30" s="115"/>
      <c r="AI30" s="115"/>
      <c r="AJ30" s="115"/>
      <c r="AK30" s="125"/>
      <c r="AL30" s="112"/>
      <c r="AM30" s="112"/>
      <c r="AN30" s="112"/>
      <c r="AO30" s="112"/>
      <c r="AP30" s="112"/>
      <c r="AQ30" s="99"/>
      <c r="AR30" s="99"/>
      <c r="AS30" s="99"/>
      <c r="AT30" s="99"/>
      <c r="AU30" s="99"/>
      <c r="AV30" s="99"/>
      <c r="AW30" s="99"/>
      <c r="AX30" s="41"/>
      <c r="AY30" s="40"/>
      <c r="AZ30" s="99"/>
      <c r="BA30" s="99"/>
      <c r="BB30" s="99"/>
      <c r="BC30" s="99"/>
      <c r="BD30" s="99"/>
      <c r="BE30" s="99"/>
      <c r="BF30" s="111"/>
    </row>
    <row r="31" spans="1:61" ht="14.4" customHeight="1" x14ac:dyDescent="0.3">
      <c r="A31" s="36"/>
      <c r="B31" s="340"/>
      <c r="C31" s="350"/>
      <c r="D31" s="336"/>
      <c r="E31" s="351"/>
      <c r="F31" s="144"/>
      <c r="G31" s="144"/>
      <c r="H31" s="144"/>
      <c r="I31" s="144"/>
      <c r="J31" s="144"/>
      <c r="K31" s="144"/>
      <c r="L31" s="144"/>
      <c r="M31" s="142"/>
      <c r="N31" s="370"/>
      <c r="O31" s="371"/>
      <c r="P31" s="143"/>
      <c r="Q31" s="144"/>
      <c r="R31" s="144"/>
      <c r="S31" s="142"/>
      <c r="T31" s="117"/>
      <c r="U31" s="99"/>
      <c r="V31" s="112"/>
      <c r="W31" s="99"/>
      <c r="X31" s="112"/>
      <c r="Y31" s="51"/>
      <c r="Z31" s="51"/>
      <c r="AA31" s="53"/>
      <c r="AB31" s="134"/>
      <c r="AC31" s="118"/>
      <c r="AD31" s="112"/>
      <c r="AE31" s="112"/>
      <c r="AF31" s="112"/>
      <c r="AG31" s="112"/>
      <c r="AH31" s="112"/>
      <c r="AI31" s="112"/>
      <c r="AJ31" s="112"/>
      <c r="AK31" s="118"/>
      <c r="AL31" s="112"/>
      <c r="AM31" s="112"/>
      <c r="AN31" s="112"/>
      <c r="AO31" s="112"/>
      <c r="AP31" s="112"/>
      <c r="AQ31" s="99"/>
      <c r="AR31" s="99"/>
      <c r="AS31" s="99"/>
      <c r="AT31" s="99"/>
      <c r="AU31" s="45"/>
      <c r="AV31" s="45"/>
      <c r="AW31" s="47"/>
      <c r="AX31" s="46"/>
      <c r="AY31" s="95"/>
      <c r="AZ31" s="99"/>
      <c r="BA31" s="99"/>
      <c r="BB31" s="99"/>
      <c r="BC31" s="99"/>
      <c r="BD31" s="99"/>
      <c r="BE31" s="99"/>
      <c r="BF31" s="111"/>
    </row>
    <row r="32" spans="1:61" ht="8.4" customHeight="1" x14ac:dyDescent="0.3">
      <c r="A32" s="36"/>
      <c r="B32" s="340"/>
      <c r="C32" s="350"/>
      <c r="D32" s="336"/>
      <c r="E32" s="351"/>
      <c r="F32" s="144"/>
      <c r="G32" s="144"/>
      <c r="H32" s="144"/>
      <c r="I32" s="144"/>
      <c r="J32" s="144"/>
      <c r="K32" s="144"/>
      <c r="L32" s="144"/>
      <c r="M32" s="142"/>
      <c r="N32" s="370"/>
      <c r="O32" s="371"/>
      <c r="P32" s="143"/>
      <c r="Q32" s="144"/>
      <c r="R32" s="144"/>
      <c r="S32" s="142"/>
      <c r="T32" s="117"/>
      <c r="U32" s="99"/>
      <c r="V32" s="112"/>
      <c r="W32" s="99"/>
      <c r="X32" s="112"/>
      <c r="Y32" s="43"/>
      <c r="Z32" s="43"/>
      <c r="AA32" s="99"/>
      <c r="AB32" s="112"/>
      <c r="AC32" s="118"/>
      <c r="AD32" s="112"/>
      <c r="AE32" s="335"/>
      <c r="AF32" s="335"/>
      <c r="AG32" s="335"/>
      <c r="AH32" s="335"/>
      <c r="AI32" s="335"/>
      <c r="AJ32" s="112"/>
      <c r="AK32" s="118"/>
      <c r="AL32" s="112"/>
      <c r="AM32" s="112"/>
      <c r="AN32" s="112"/>
      <c r="AO32" s="112"/>
      <c r="AP32" s="112"/>
      <c r="AQ32" s="99"/>
      <c r="AR32" s="99"/>
      <c r="AS32" s="99"/>
      <c r="AT32" s="99"/>
      <c r="AU32" s="99"/>
      <c r="AV32" s="99"/>
      <c r="AW32" s="99"/>
      <c r="AX32" s="99"/>
      <c r="AY32" s="95"/>
      <c r="AZ32" s="99"/>
      <c r="BA32" s="99"/>
      <c r="BB32" s="99"/>
      <c r="BC32" s="99"/>
      <c r="BD32" s="99"/>
      <c r="BE32" s="99"/>
      <c r="BF32" s="111"/>
    </row>
    <row r="33" spans="1:61" ht="15" customHeight="1" x14ac:dyDescent="0.4">
      <c r="A33" s="36"/>
      <c r="B33" s="340"/>
      <c r="C33" s="350"/>
      <c r="D33" s="336"/>
      <c r="E33" s="351"/>
      <c r="F33" s="144"/>
      <c r="G33" s="336"/>
      <c r="H33" s="336"/>
      <c r="I33" s="336"/>
      <c r="J33" s="336"/>
      <c r="K33" s="336"/>
      <c r="L33" s="336"/>
      <c r="M33" s="142"/>
      <c r="N33" s="370"/>
      <c r="O33" s="371"/>
      <c r="P33" s="143"/>
      <c r="Q33" s="336"/>
      <c r="R33" s="336"/>
      <c r="S33" s="142"/>
      <c r="T33" s="117"/>
      <c r="U33" s="99"/>
      <c r="V33" s="112"/>
      <c r="W33" s="99"/>
      <c r="X33" s="112"/>
      <c r="Y33" s="49">
        <v>1</v>
      </c>
      <c r="Z33" s="49">
        <v>0</v>
      </c>
      <c r="AA33" s="53"/>
      <c r="AB33" s="134"/>
      <c r="AC33" s="118"/>
      <c r="AD33" s="112"/>
      <c r="AE33" s="112"/>
      <c r="AF33" s="112"/>
      <c r="AG33" s="112"/>
      <c r="AH33" s="337"/>
      <c r="AI33" s="337"/>
      <c r="AJ33" s="112"/>
      <c r="AK33" s="118"/>
      <c r="AL33" s="112"/>
      <c r="AM33" s="112"/>
      <c r="AN33" s="112"/>
      <c r="AO33" s="112"/>
      <c r="AP33" s="112"/>
      <c r="AQ33" s="99"/>
      <c r="AR33" s="99"/>
      <c r="AS33" s="99"/>
      <c r="AT33" s="99"/>
      <c r="AU33" s="104">
        <v>7</v>
      </c>
      <c r="AV33" s="104">
        <v>0</v>
      </c>
      <c r="AW33" s="47">
        <v>0</v>
      </c>
      <c r="AX33" s="46"/>
      <c r="AY33" s="95"/>
      <c r="AZ33" s="99"/>
      <c r="BA33" s="99"/>
      <c r="BB33" s="99"/>
      <c r="BC33" s="99"/>
      <c r="BD33" s="99"/>
      <c r="BE33" s="99"/>
      <c r="BF33" s="111"/>
    </row>
    <row r="34" spans="1:61" ht="9.6" customHeight="1" x14ac:dyDescent="0.3">
      <c r="A34" s="36"/>
      <c r="B34" s="340"/>
      <c r="C34" s="350"/>
      <c r="D34" s="336"/>
      <c r="E34" s="351"/>
      <c r="F34" s="144"/>
      <c r="G34" s="336"/>
      <c r="H34" s="336"/>
      <c r="I34" s="336"/>
      <c r="J34" s="336"/>
      <c r="K34" s="336"/>
      <c r="L34" s="336"/>
      <c r="M34" s="142"/>
      <c r="N34" s="370"/>
      <c r="O34" s="371"/>
      <c r="P34" s="143"/>
      <c r="Q34" s="336"/>
      <c r="R34" s="336"/>
      <c r="S34" s="142"/>
      <c r="T34" s="117"/>
      <c r="U34" s="99"/>
      <c r="V34" s="112"/>
      <c r="W34" s="99"/>
      <c r="X34" s="112"/>
      <c r="Y34" s="99"/>
      <c r="Z34" s="112"/>
      <c r="AA34" s="99"/>
      <c r="AB34" s="112"/>
      <c r="AC34" s="118"/>
      <c r="AD34" s="112"/>
      <c r="AE34" s="126"/>
      <c r="AF34" s="126"/>
      <c r="AG34" s="112"/>
      <c r="AH34" s="344"/>
      <c r="AI34" s="344"/>
      <c r="AJ34" s="112"/>
      <c r="AK34" s="118"/>
      <c r="AL34" s="112"/>
      <c r="AM34" s="112"/>
      <c r="AN34" s="112"/>
      <c r="AO34" s="112"/>
      <c r="AP34" s="112"/>
      <c r="AQ34" s="99"/>
      <c r="AR34" s="99"/>
      <c r="AS34" s="99"/>
      <c r="AT34" s="99"/>
      <c r="AU34" s="107"/>
      <c r="AV34" s="107"/>
      <c r="AW34" s="99"/>
      <c r="AX34" s="99"/>
      <c r="AY34" s="95"/>
      <c r="AZ34" s="99"/>
      <c r="BA34" s="99"/>
      <c r="BB34" s="99"/>
      <c r="BC34" s="99"/>
      <c r="BD34" s="99"/>
      <c r="BE34" s="99"/>
      <c r="BF34" s="111"/>
      <c r="BI34" s="25"/>
    </row>
    <row r="35" spans="1:61" ht="13.8" customHeight="1" x14ac:dyDescent="0.3">
      <c r="A35" s="36"/>
      <c r="B35" s="340"/>
      <c r="C35" s="350"/>
      <c r="D35" s="336"/>
      <c r="E35" s="351"/>
      <c r="F35" s="144"/>
      <c r="G35" s="345"/>
      <c r="H35" s="345"/>
      <c r="I35" s="345"/>
      <c r="J35" s="345"/>
      <c r="K35" s="345"/>
      <c r="L35" s="345"/>
      <c r="M35" s="142"/>
      <c r="N35" s="370"/>
      <c r="O35" s="371"/>
      <c r="P35" s="143"/>
      <c r="Q35" s="345"/>
      <c r="R35" s="345"/>
      <c r="S35" s="142"/>
      <c r="T35" s="117"/>
      <c r="U35" s="99"/>
      <c r="V35" s="112"/>
      <c r="W35" s="99"/>
      <c r="X35" s="118"/>
      <c r="Y35" s="49">
        <v>1</v>
      </c>
      <c r="Z35" s="49">
        <v>1</v>
      </c>
      <c r="AA35" s="48"/>
      <c r="AB35" s="134"/>
      <c r="AC35" s="149"/>
      <c r="AD35" s="112"/>
      <c r="AE35" s="112"/>
      <c r="AF35" s="346"/>
      <c r="AG35" s="346"/>
      <c r="AH35" s="346"/>
      <c r="AI35" s="346"/>
      <c r="AJ35" s="346"/>
      <c r="AK35" s="118"/>
      <c r="AL35" s="112"/>
      <c r="AM35" s="112"/>
      <c r="AN35" s="112"/>
      <c r="AO35" s="112"/>
      <c r="AP35" s="112"/>
      <c r="AQ35" s="99"/>
      <c r="AR35" s="99"/>
      <c r="AS35" s="99"/>
      <c r="AT35" s="99"/>
      <c r="AU35" s="104">
        <v>7</v>
      </c>
      <c r="AV35" s="104">
        <v>7</v>
      </c>
      <c r="AW35" s="47">
        <v>7</v>
      </c>
      <c r="AX35" s="46"/>
      <c r="AY35" s="95"/>
      <c r="AZ35" s="99"/>
      <c r="BA35" s="99"/>
      <c r="BB35" s="99"/>
      <c r="BC35" s="328"/>
      <c r="BD35" s="328"/>
      <c r="BE35" s="138">
        <v>1</v>
      </c>
      <c r="BF35" s="111"/>
      <c r="BI35" s="25"/>
    </row>
    <row r="36" spans="1:61" ht="12.45" customHeight="1" x14ac:dyDescent="0.3">
      <c r="A36" s="36"/>
      <c r="B36" s="340"/>
      <c r="C36" s="350"/>
      <c r="D36" s="336"/>
      <c r="E36" s="351"/>
      <c r="F36" s="144"/>
      <c r="G36" s="144"/>
      <c r="H36" s="144"/>
      <c r="I36" s="144"/>
      <c r="J36" s="144"/>
      <c r="K36" s="144"/>
      <c r="L36" s="144"/>
      <c r="M36" s="142"/>
      <c r="N36" s="370"/>
      <c r="O36" s="371"/>
      <c r="P36" s="143"/>
      <c r="Q36" s="144"/>
      <c r="R36" s="144"/>
      <c r="S36" s="142"/>
      <c r="T36" s="117"/>
      <c r="U36" s="45"/>
      <c r="V36" s="338"/>
      <c r="W36" s="338"/>
      <c r="X36" s="112"/>
      <c r="Y36" s="52"/>
      <c r="Z36" s="52"/>
      <c r="AA36" s="99"/>
      <c r="AB36" s="112"/>
      <c r="AC36" s="118"/>
      <c r="AD36" s="112"/>
      <c r="AE36" s="148"/>
      <c r="AF36" s="338"/>
      <c r="AG36" s="338"/>
      <c r="AH36" s="338"/>
      <c r="AI36" s="338"/>
      <c r="AJ36" s="338"/>
      <c r="AK36" s="118"/>
      <c r="AL36" s="112"/>
      <c r="AM36" s="338"/>
      <c r="AN36" s="338"/>
      <c r="AO36" s="338"/>
      <c r="AP36" s="338"/>
      <c r="AQ36" s="338"/>
      <c r="AR36" s="338"/>
      <c r="AS36" s="338"/>
      <c r="AT36" s="99"/>
      <c r="AU36" s="99"/>
      <c r="AV36" s="99"/>
      <c r="AW36" s="99"/>
      <c r="AX36" s="99"/>
      <c r="AY36" s="95"/>
      <c r="AZ36" s="99"/>
      <c r="BA36" s="94"/>
      <c r="BB36" s="94"/>
      <c r="BC36" s="94"/>
      <c r="BD36" s="94"/>
      <c r="BF36" s="111"/>
      <c r="BI36" s="25"/>
    </row>
    <row r="37" spans="1:61" ht="3.6" customHeight="1" x14ac:dyDescent="0.3">
      <c r="A37" s="36"/>
      <c r="B37" s="341"/>
      <c r="C37" s="352"/>
      <c r="D37" s="353"/>
      <c r="E37" s="354"/>
      <c r="F37" s="128"/>
      <c r="G37" s="128"/>
      <c r="H37" s="128"/>
      <c r="I37" s="128"/>
      <c r="J37" s="128"/>
      <c r="K37" s="128"/>
      <c r="L37" s="128"/>
      <c r="M37" s="140"/>
      <c r="N37" s="372"/>
      <c r="O37" s="373"/>
      <c r="P37" s="141"/>
      <c r="Q37" s="128"/>
      <c r="R37" s="128"/>
      <c r="S37" s="140"/>
      <c r="T37" s="122"/>
      <c r="U37" s="38"/>
      <c r="V37" s="121"/>
      <c r="W37" s="38"/>
      <c r="X37" s="121"/>
      <c r="Y37" s="38"/>
      <c r="Z37" s="121"/>
      <c r="AA37" s="38"/>
      <c r="AB37" s="121"/>
      <c r="AC37" s="123"/>
      <c r="AD37" s="121"/>
      <c r="AE37" s="121"/>
      <c r="AF37" s="121"/>
      <c r="AG37" s="121"/>
      <c r="AH37" s="121"/>
      <c r="AI37" s="121"/>
      <c r="AJ37" s="121"/>
      <c r="AK37" s="121"/>
      <c r="AL37" s="122"/>
      <c r="AM37" s="121"/>
      <c r="AN37" s="121"/>
      <c r="AO37" s="121"/>
      <c r="AP37" s="121"/>
      <c r="AQ37" s="38"/>
      <c r="AR37" s="38"/>
      <c r="AS37" s="38"/>
      <c r="AT37" s="38"/>
      <c r="AU37" s="38"/>
      <c r="AV37" s="38"/>
      <c r="AW37" s="38"/>
      <c r="AX37" s="38"/>
      <c r="AY37" s="37"/>
      <c r="AZ37" s="38"/>
      <c r="BA37" s="38"/>
      <c r="BB37" s="38"/>
      <c r="BC37" s="38"/>
      <c r="BD37" s="38"/>
      <c r="BE37" s="38"/>
      <c r="BF37" s="147"/>
      <c r="BI37" s="25"/>
    </row>
    <row r="38" spans="1:61" ht="12.6" customHeight="1" x14ac:dyDescent="0.3">
      <c r="A38" s="36"/>
      <c r="B38" s="339" t="s">
        <v>26</v>
      </c>
      <c r="C38" s="347"/>
      <c r="D38" s="348"/>
      <c r="E38" s="349"/>
      <c r="F38" s="132"/>
      <c r="G38" s="132"/>
      <c r="H38" s="132"/>
      <c r="I38" s="132"/>
      <c r="J38" s="132"/>
      <c r="K38" s="132"/>
      <c r="L38" s="132"/>
      <c r="M38" s="145"/>
      <c r="N38" s="331">
        <v>0.06</v>
      </c>
      <c r="O38" s="332"/>
      <c r="P38" s="146"/>
      <c r="Q38" s="132"/>
      <c r="R38" s="132"/>
      <c r="S38" s="145"/>
      <c r="T38" s="124"/>
      <c r="U38" s="41"/>
      <c r="V38" s="115"/>
      <c r="W38" s="41"/>
      <c r="X38" s="115"/>
      <c r="Y38" s="41"/>
      <c r="Z38" s="115"/>
      <c r="AA38" s="41"/>
      <c r="AB38" s="115"/>
      <c r="AC38" s="125"/>
      <c r="AD38" s="115"/>
      <c r="AE38" s="115"/>
      <c r="AF38" s="115"/>
      <c r="AG38" s="115"/>
      <c r="AH38" s="115"/>
      <c r="AI38" s="115"/>
      <c r="AJ38" s="115"/>
      <c r="AK38" s="125"/>
      <c r="AL38" s="124"/>
      <c r="AM38" s="115"/>
      <c r="AN38" s="115"/>
      <c r="AO38" s="115"/>
      <c r="AP38" s="115"/>
      <c r="AQ38" s="41"/>
      <c r="AR38" s="41"/>
      <c r="AS38" s="41"/>
      <c r="AT38" s="41"/>
      <c r="AU38" s="41"/>
      <c r="AV38" s="41"/>
      <c r="AW38" s="41"/>
      <c r="AX38" s="41"/>
      <c r="AY38" s="40"/>
      <c r="AZ38" s="99"/>
      <c r="BA38" s="99"/>
      <c r="BB38" s="99"/>
      <c r="BC38" s="99"/>
      <c r="BD38" s="99"/>
      <c r="BE38" s="99"/>
      <c r="BF38" s="111"/>
      <c r="BI38" s="25"/>
    </row>
    <row r="39" spans="1:61" ht="12.6" customHeight="1" x14ac:dyDescent="0.3">
      <c r="A39" s="36"/>
      <c r="B39" s="340"/>
      <c r="C39" s="350"/>
      <c r="D39" s="336"/>
      <c r="E39" s="351"/>
      <c r="F39" s="144"/>
      <c r="G39" s="144"/>
      <c r="H39" s="144"/>
      <c r="I39" s="144"/>
      <c r="J39" s="144"/>
      <c r="K39" s="144"/>
      <c r="L39" s="144"/>
      <c r="M39" s="142"/>
      <c r="N39" s="333"/>
      <c r="O39" s="334"/>
      <c r="P39" s="143"/>
      <c r="Q39" s="144"/>
      <c r="R39" s="144"/>
      <c r="S39" s="142"/>
      <c r="T39" s="117"/>
      <c r="U39" s="99"/>
      <c r="V39" s="112"/>
      <c r="W39" s="99"/>
      <c r="X39" s="112"/>
      <c r="Y39" s="99"/>
      <c r="Z39" s="112"/>
      <c r="AA39" s="99"/>
      <c r="AB39" s="112"/>
      <c r="AC39" s="118"/>
      <c r="AD39" s="112"/>
      <c r="AE39" s="112"/>
      <c r="AF39" s="112"/>
      <c r="AG39" s="112"/>
      <c r="AH39" s="112"/>
      <c r="AI39" s="112"/>
      <c r="AJ39" s="112"/>
      <c r="AK39" s="118"/>
      <c r="AL39" s="117"/>
      <c r="AM39" s="112"/>
      <c r="AN39" s="112"/>
      <c r="AO39" s="112"/>
      <c r="AP39" s="112"/>
      <c r="AQ39" s="99"/>
      <c r="AR39" s="99"/>
      <c r="AS39" s="99"/>
      <c r="AT39" s="99"/>
      <c r="AU39" s="104">
        <v>7</v>
      </c>
      <c r="AV39" s="104">
        <v>7</v>
      </c>
      <c r="AW39" s="106">
        <v>7</v>
      </c>
      <c r="AX39" s="139"/>
      <c r="AY39" s="95"/>
      <c r="AZ39" s="99"/>
      <c r="BA39" s="99"/>
      <c r="BB39" s="99"/>
      <c r="BC39" s="99"/>
      <c r="BD39" s="99"/>
      <c r="BE39" s="99"/>
      <c r="BF39" s="111"/>
      <c r="BI39" s="25"/>
    </row>
    <row r="40" spans="1:61" ht="18.45" customHeight="1" x14ac:dyDescent="0.3">
      <c r="A40" s="36"/>
      <c r="B40" s="340"/>
      <c r="C40" s="350"/>
      <c r="D40" s="336"/>
      <c r="E40" s="351"/>
      <c r="F40" s="144"/>
      <c r="G40" s="336"/>
      <c r="H40" s="336"/>
      <c r="I40" s="336"/>
      <c r="J40" s="336"/>
      <c r="K40" s="336"/>
      <c r="L40" s="336"/>
      <c r="M40" s="142"/>
      <c r="N40" s="333"/>
      <c r="O40" s="334"/>
      <c r="P40" s="143"/>
      <c r="Q40" s="336"/>
      <c r="R40" s="336"/>
      <c r="S40" s="142"/>
      <c r="T40" s="117"/>
      <c r="U40" s="99"/>
      <c r="V40" s="112"/>
      <c r="W40" s="99"/>
      <c r="X40" s="112"/>
      <c r="Y40" s="99"/>
      <c r="Z40" s="112"/>
      <c r="AA40" s="99"/>
      <c r="AB40" s="112"/>
      <c r="AC40" s="118"/>
      <c r="AD40" s="112"/>
      <c r="AE40" s="112"/>
      <c r="AF40" s="112"/>
      <c r="AG40" s="112"/>
      <c r="AH40" s="112"/>
      <c r="AI40" s="112"/>
      <c r="AJ40" s="112"/>
      <c r="AK40" s="118"/>
      <c r="AL40" s="117"/>
      <c r="AM40" s="112"/>
      <c r="AN40" s="112"/>
      <c r="AO40" s="112"/>
      <c r="AP40" s="112"/>
      <c r="AQ40" s="99"/>
      <c r="AR40" s="99"/>
      <c r="AS40" s="99"/>
      <c r="AT40" s="99"/>
      <c r="AU40" s="25"/>
      <c r="AV40" s="25"/>
      <c r="AW40" s="25"/>
      <c r="AX40" s="25"/>
      <c r="AY40" s="95"/>
      <c r="AZ40" s="99"/>
      <c r="BA40" s="99"/>
      <c r="BB40" s="99"/>
      <c r="BC40" s="99"/>
      <c r="BD40" s="99"/>
      <c r="BE40" s="99"/>
      <c r="BF40" s="111"/>
      <c r="BI40" s="25"/>
    </row>
    <row r="41" spans="1:61" ht="15.6" customHeight="1" x14ac:dyDescent="0.3">
      <c r="A41" s="36"/>
      <c r="B41" s="340"/>
      <c r="C41" s="350"/>
      <c r="D41" s="336"/>
      <c r="E41" s="351"/>
      <c r="F41" s="144"/>
      <c r="G41" s="336"/>
      <c r="H41" s="336"/>
      <c r="I41" s="336"/>
      <c r="J41" s="336"/>
      <c r="K41" s="336"/>
      <c r="L41" s="336"/>
      <c r="M41" s="142"/>
      <c r="N41" s="333"/>
      <c r="O41" s="334"/>
      <c r="P41" s="143"/>
      <c r="Q41" s="336"/>
      <c r="R41" s="336"/>
      <c r="S41" s="142"/>
      <c r="T41" s="117"/>
      <c r="U41" s="99"/>
      <c r="V41" s="112"/>
      <c r="W41" s="99"/>
      <c r="X41" s="112"/>
      <c r="Y41" s="51"/>
      <c r="Z41" s="51"/>
      <c r="AA41" s="48"/>
      <c r="AB41" s="134"/>
      <c r="AC41" s="118"/>
      <c r="AD41" s="112"/>
      <c r="AE41" s="335"/>
      <c r="AF41" s="335"/>
      <c r="AG41" s="335"/>
      <c r="AH41" s="335"/>
      <c r="AI41" s="335"/>
      <c r="AJ41" s="112"/>
      <c r="AK41" s="118"/>
      <c r="AL41" s="117"/>
      <c r="AM41" s="112"/>
      <c r="AN41" s="112"/>
      <c r="AO41" s="112"/>
      <c r="AP41" s="112"/>
      <c r="AQ41" s="99"/>
      <c r="AR41" s="99"/>
      <c r="AS41" s="99"/>
      <c r="AT41" s="99"/>
      <c r="AU41" s="104">
        <v>7</v>
      </c>
      <c r="AV41" s="104">
        <v>7</v>
      </c>
      <c r="AW41" s="106">
        <v>7</v>
      </c>
      <c r="AX41" s="139"/>
      <c r="AY41" s="95"/>
      <c r="AZ41" s="99"/>
      <c r="BA41" s="99"/>
      <c r="BB41" s="99"/>
      <c r="BC41" s="99"/>
      <c r="BD41" s="99"/>
      <c r="BE41" s="99"/>
      <c r="BF41" s="111"/>
      <c r="BI41" s="25"/>
    </row>
    <row r="42" spans="1:61" ht="13.8" customHeight="1" x14ac:dyDescent="0.3">
      <c r="A42" s="36"/>
      <c r="B42" s="340"/>
      <c r="C42" s="350"/>
      <c r="D42" s="336"/>
      <c r="E42" s="351"/>
      <c r="F42" s="144"/>
      <c r="G42" s="345"/>
      <c r="H42" s="345"/>
      <c r="I42" s="345"/>
      <c r="J42" s="345"/>
      <c r="K42" s="345"/>
      <c r="L42" s="345"/>
      <c r="M42" s="142"/>
      <c r="N42" s="333"/>
      <c r="O42" s="334"/>
      <c r="P42" s="143"/>
      <c r="Q42" s="345"/>
      <c r="R42" s="345"/>
      <c r="S42" s="142"/>
      <c r="T42" s="117"/>
      <c r="U42" s="99"/>
      <c r="V42" s="112"/>
      <c r="W42" s="99"/>
      <c r="X42" s="112"/>
      <c r="Y42" s="99"/>
      <c r="Z42" s="112"/>
      <c r="AA42" s="99"/>
      <c r="AB42" s="112"/>
      <c r="AC42" s="118"/>
      <c r="AD42" s="112"/>
      <c r="AE42" s="112"/>
      <c r="AF42" s="346"/>
      <c r="AG42" s="346"/>
      <c r="AH42" s="346"/>
      <c r="AI42" s="346"/>
      <c r="AJ42" s="346"/>
      <c r="AK42" s="118"/>
      <c r="AL42" s="117"/>
      <c r="AM42" s="112"/>
      <c r="AN42" s="112"/>
      <c r="AO42" s="112"/>
      <c r="AP42" s="112"/>
      <c r="AQ42" s="99"/>
      <c r="AR42" s="99"/>
      <c r="AS42" s="99"/>
      <c r="AT42" s="99"/>
      <c r="AU42" s="25"/>
      <c r="AV42" s="25"/>
      <c r="AW42" s="25"/>
      <c r="AX42" s="25"/>
      <c r="AY42" s="95"/>
      <c r="AZ42" s="99"/>
      <c r="BA42" s="99"/>
      <c r="BB42" s="99"/>
      <c r="BC42" s="99"/>
      <c r="BD42" s="99"/>
      <c r="BE42" s="99"/>
      <c r="BF42" s="111"/>
      <c r="BI42" s="25"/>
    </row>
    <row r="43" spans="1:61" ht="13.2" customHeight="1" x14ac:dyDescent="0.3">
      <c r="A43" s="36"/>
      <c r="B43" s="341"/>
      <c r="C43" s="352"/>
      <c r="D43" s="353"/>
      <c r="E43" s="354"/>
      <c r="F43" s="128"/>
      <c r="G43" s="128"/>
      <c r="H43" s="128"/>
      <c r="I43" s="128"/>
      <c r="J43" s="128"/>
      <c r="K43" s="128"/>
      <c r="L43" s="128"/>
      <c r="M43" s="140"/>
      <c r="N43" s="342"/>
      <c r="O43" s="343"/>
      <c r="P43" s="141"/>
      <c r="Q43" s="128"/>
      <c r="R43" s="128"/>
      <c r="S43" s="140"/>
      <c r="T43" s="117"/>
      <c r="U43" s="99"/>
      <c r="V43" s="112"/>
      <c r="W43" s="99"/>
      <c r="X43" s="112"/>
      <c r="Y43" s="49">
        <v>1</v>
      </c>
      <c r="Z43" s="49">
        <v>0</v>
      </c>
      <c r="AA43" s="48"/>
      <c r="AB43" s="134"/>
      <c r="AC43" s="118"/>
      <c r="AD43" s="112"/>
      <c r="AE43" s="126"/>
      <c r="AF43" s="335"/>
      <c r="AG43" s="335"/>
      <c r="AH43" s="335"/>
      <c r="AI43" s="335"/>
      <c r="AJ43" s="335"/>
      <c r="AK43" s="118"/>
      <c r="AL43" s="117"/>
      <c r="AM43" s="112"/>
      <c r="AN43" s="112"/>
      <c r="AO43" s="112"/>
      <c r="AP43" s="112"/>
      <c r="AQ43" s="99"/>
      <c r="AR43" s="99"/>
      <c r="AS43" s="99"/>
      <c r="AT43" s="99"/>
      <c r="AU43" s="104">
        <v>7</v>
      </c>
      <c r="AV43" s="104">
        <v>7</v>
      </c>
      <c r="AW43" s="106">
        <v>7</v>
      </c>
      <c r="AX43" s="139"/>
      <c r="AY43" s="95"/>
      <c r="AZ43" s="99"/>
      <c r="BA43" s="99"/>
      <c r="BB43" s="99"/>
      <c r="BC43" s="328"/>
      <c r="BD43" s="328"/>
      <c r="BE43" s="138">
        <v>2</v>
      </c>
      <c r="BF43" s="111"/>
      <c r="BI43" s="25"/>
    </row>
    <row r="44" spans="1:61" ht="15.6" customHeight="1" x14ac:dyDescent="0.3">
      <c r="A44" s="36"/>
      <c r="B44" s="137"/>
      <c r="C44" s="136"/>
      <c r="D44" s="136"/>
      <c r="E44" s="136"/>
      <c r="F44" s="366" t="s">
        <v>56</v>
      </c>
      <c r="G44" s="366"/>
      <c r="H44" s="366"/>
      <c r="I44" s="366"/>
      <c r="J44" s="366"/>
      <c r="K44" s="366"/>
      <c r="L44" s="366"/>
      <c r="M44" s="366"/>
      <c r="N44" s="366"/>
      <c r="O44" s="366"/>
      <c r="P44" s="347"/>
      <c r="Q44" s="348"/>
      <c r="R44" s="348"/>
      <c r="S44" s="349"/>
      <c r="T44" s="112"/>
      <c r="U44" s="99"/>
      <c r="V44" s="112"/>
      <c r="W44" s="99"/>
      <c r="X44" s="112"/>
      <c r="Y44" s="44"/>
      <c r="Z44" s="44"/>
      <c r="AA44" s="99"/>
      <c r="AB44" s="112"/>
      <c r="AC44" s="118"/>
      <c r="AD44" s="112"/>
      <c r="AE44" s="135"/>
      <c r="AF44" s="367"/>
      <c r="AG44" s="367"/>
      <c r="AH44" s="367"/>
      <c r="AI44" s="367"/>
      <c r="AJ44" s="367"/>
      <c r="AK44" s="118"/>
      <c r="AL44" s="117"/>
      <c r="AM44" s="338"/>
      <c r="AN44" s="338"/>
      <c r="AO44" s="338"/>
      <c r="AP44" s="338"/>
      <c r="AQ44" s="338"/>
      <c r="AR44" s="338"/>
      <c r="AS44" s="338"/>
      <c r="AT44" s="99"/>
      <c r="AU44" s="107"/>
      <c r="AV44" s="107"/>
      <c r="AW44" s="107"/>
      <c r="AX44" s="107"/>
      <c r="AY44" s="95"/>
      <c r="AZ44" s="99"/>
      <c r="BA44" s="99"/>
      <c r="BB44" s="99"/>
      <c r="BC44" s="99"/>
      <c r="BD44" s="99"/>
      <c r="BE44" s="99"/>
      <c r="BF44" s="111"/>
      <c r="BI44" s="25"/>
    </row>
    <row r="45" spans="1:61" ht="4.2" customHeight="1" x14ac:dyDescent="0.3">
      <c r="A45" s="36"/>
      <c r="B45" s="50"/>
      <c r="C45" s="99"/>
      <c r="D45" s="99"/>
      <c r="E45" s="99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350"/>
      <c r="Q45" s="336"/>
      <c r="R45" s="336"/>
      <c r="S45" s="351"/>
      <c r="T45" s="112"/>
      <c r="U45" s="99"/>
      <c r="V45" s="112"/>
      <c r="W45" s="99"/>
      <c r="X45" s="112"/>
      <c r="AC45" s="118"/>
      <c r="AD45" s="121"/>
      <c r="AE45" s="121"/>
      <c r="AF45" s="121"/>
      <c r="AG45" s="121"/>
      <c r="AH45" s="121"/>
      <c r="AI45" s="121"/>
      <c r="AJ45" s="121"/>
      <c r="AK45" s="123"/>
      <c r="AL45" s="117"/>
      <c r="AM45" s="112"/>
      <c r="AN45" s="112"/>
      <c r="AO45" s="112"/>
      <c r="AP45" s="112"/>
      <c r="AQ45" s="99"/>
      <c r="AR45" s="99"/>
      <c r="AS45" s="99"/>
      <c r="AT45" s="99"/>
      <c r="AU45" s="25"/>
      <c r="AV45" s="25"/>
      <c r="AW45" s="25"/>
      <c r="AX45" s="25"/>
      <c r="AY45" s="37"/>
      <c r="AZ45" s="39"/>
      <c r="BA45" s="38"/>
      <c r="BB45" s="38"/>
      <c r="BC45" s="38"/>
      <c r="BD45" s="38"/>
      <c r="BE45" s="38"/>
      <c r="BF45" s="111"/>
      <c r="BI45" s="25"/>
    </row>
    <row r="46" spans="1:61" ht="15.6" customHeight="1" x14ac:dyDescent="0.3">
      <c r="A46" s="36"/>
      <c r="B46" s="99"/>
      <c r="C46" s="99"/>
      <c r="D46" s="99"/>
      <c r="E46" s="99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352"/>
      <c r="Q46" s="353"/>
      <c r="R46" s="353"/>
      <c r="S46" s="354"/>
      <c r="T46" s="112"/>
      <c r="U46" s="99"/>
      <c r="V46" s="112"/>
      <c r="W46" s="99"/>
      <c r="X46" s="112"/>
      <c r="Y46" s="49">
        <v>1</v>
      </c>
      <c r="Z46" s="49">
        <v>1</v>
      </c>
      <c r="AA46" s="48"/>
      <c r="AB46" s="134"/>
      <c r="AC46" s="118"/>
      <c r="AD46" s="112"/>
      <c r="AE46" s="335"/>
      <c r="AF46" s="335"/>
      <c r="AG46" s="335"/>
      <c r="AH46" s="335"/>
      <c r="AI46" s="335"/>
      <c r="AJ46" s="112"/>
      <c r="AK46" s="118"/>
      <c r="AL46" s="124"/>
      <c r="AM46" s="115"/>
      <c r="AN46" s="115"/>
      <c r="AO46" s="115"/>
      <c r="AP46" s="115"/>
      <c r="AQ46" s="41"/>
      <c r="AR46" s="41"/>
      <c r="AS46" s="41"/>
      <c r="AT46" s="41"/>
      <c r="AU46" s="116"/>
      <c r="AV46" s="116"/>
      <c r="AW46" s="116"/>
      <c r="AX46" s="116"/>
      <c r="AY46" s="95"/>
      <c r="AZ46" s="99"/>
      <c r="BA46" s="99"/>
      <c r="BB46" s="99"/>
      <c r="BE46" s="99"/>
      <c r="BF46" s="111"/>
      <c r="BI46" s="25"/>
    </row>
    <row r="47" spans="1:61" ht="18" customHeight="1" x14ac:dyDescent="0.4">
      <c r="A47" s="36"/>
      <c r="B47" s="99"/>
      <c r="C47" s="99"/>
      <c r="D47" s="99"/>
      <c r="E47" s="99"/>
      <c r="F47" s="380" t="s">
        <v>57</v>
      </c>
      <c r="G47" s="380"/>
      <c r="H47" s="380"/>
      <c r="I47" s="380"/>
      <c r="J47" s="380"/>
      <c r="K47" s="380"/>
      <c r="L47" s="380"/>
      <c r="M47" s="380"/>
      <c r="N47" s="99"/>
      <c r="O47" s="99"/>
      <c r="P47" s="133"/>
      <c r="Q47" s="103"/>
      <c r="R47" s="132"/>
      <c r="S47" s="131"/>
      <c r="T47" s="112"/>
      <c r="U47" s="45"/>
      <c r="V47" s="338"/>
      <c r="W47" s="338"/>
      <c r="X47" s="112"/>
      <c r="Y47" s="44"/>
      <c r="Z47" s="44"/>
      <c r="AA47" s="99"/>
      <c r="AB47" s="112"/>
      <c r="AC47" s="118"/>
      <c r="AD47" s="112"/>
      <c r="AE47" s="112"/>
      <c r="AF47" s="112"/>
      <c r="AG47" s="112"/>
      <c r="AH47" s="337"/>
      <c r="AI47" s="337"/>
      <c r="AJ47" s="112"/>
      <c r="AK47" s="112"/>
      <c r="AL47" s="117"/>
      <c r="AM47" s="346"/>
      <c r="AN47" s="346"/>
      <c r="AO47" s="346"/>
      <c r="AP47" s="346"/>
      <c r="AQ47" s="346"/>
      <c r="AR47" s="346"/>
      <c r="AS47" s="346"/>
      <c r="AT47" s="99"/>
      <c r="AU47" s="99"/>
      <c r="AV47" s="99"/>
      <c r="AW47" s="99"/>
      <c r="AX47" s="99"/>
      <c r="AY47" s="95"/>
      <c r="AZ47" s="99"/>
      <c r="BA47" s="94"/>
      <c r="BB47" s="94"/>
      <c r="BC47" s="94"/>
      <c r="BD47" s="94"/>
      <c r="BF47" s="111"/>
      <c r="BI47" s="25"/>
    </row>
    <row r="48" spans="1:61" ht="6" customHeight="1" x14ac:dyDescent="0.3">
      <c r="A48" s="36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130"/>
      <c r="Q48" s="129"/>
      <c r="R48" s="128"/>
      <c r="S48" s="127"/>
      <c r="T48" s="112"/>
      <c r="U48" s="99"/>
      <c r="V48" s="112"/>
      <c r="W48" s="99"/>
      <c r="X48" s="112"/>
      <c r="Y48" s="99"/>
      <c r="Z48" s="112"/>
      <c r="AA48" s="99"/>
      <c r="AB48" s="112"/>
      <c r="AC48" s="118"/>
      <c r="AD48" s="112"/>
      <c r="AE48" s="126"/>
      <c r="AF48" s="126"/>
      <c r="AG48" s="112"/>
      <c r="AH48" s="344"/>
      <c r="AI48" s="344"/>
      <c r="AJ48" s="112"/>
      <c r="AK48" s="118"/>
      <c r="AL48" s="117"/>
      <c r="AM48" s="112"/>
      <c r="AN48" s="112"/>
      <c r="AO48" s="112"/>
      <c r="AP48" s="112"/>
      <c r="AQ48" s="99"/>
      <c r="AR48" s="99"/>
      <c r="AS48" s="99"/>
      <c r="AT48" s="99"/>
      <c r="AU48" s="99"/>
      <c r="AV48" s="99"/>
      <c r="AW48" s="99"/>
      <c r="AX48" s="99"/>
      <c r="AY48" s="95"/>
      <c r="AZ48" s="99"/>
      <c r="BA48" s="99"/>
      <c r="BB48" s="99"/>
      <c r="BC48" s="99"/>
      <c r="BD48" s="99"/>
      <c r="BE48" s="99"/>
      <c r="BF48" s="111"/>
      <c r="BI48" s="25"/>
    </row>
    <row r="49" spans="1:61" ht="13.95" customHeight="1" x14ac:dyDescent="0.3">
      <c r="A49" s="355" t="s">
        <v>58</v>
      </c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6"/>
      <c r="P49" s="357"/>
      <c r="Q49" s="358"/>
      <c r="R49" s="358"/>
      <c r="S49" s="359"/>
      <c r="T49" s="115"/>
      <c r="U49" s="41"/>
      <c r="V49" s="115"/>
      <c r="W49" s="40"/>
      <c r="X49" s="112"/>
      <c r="Y49" s="44"/>
      <c r="Z49" s="44"/>
      <c r="AA49" s="99"/>
      <c r="AB49" s="112"/>
      <c r="AC49" s="118"/>
      <c r="AD49" s="115"/>
      <c r="AE49" s="115"/>
      <c r="AF49" s="115"/>
      <c r="AG49" s="115"/>
      <c r="AH49" s="115"/>
      <c r="AI49" s="115"/>
      <c r="AJ49" s="115"/>
      <c r="AK49" s="125"/>
      <c r="AL49" s="124"/>
      <c r="AM49" s="115"/>
      <c r="AN49" s="115"/>
      <c r="AO49" s="115"/>
      <c r="AP49" s="115"/>
      <c r="AQ49" s="40"/>
      <c r="AR49" s="99"/>
      <c r="AS49" s="99"/>
      <c r="AT49" s="99"/>
      <c r="AU49" s="99"/>
      <c r="AV49" s="99"/>
      <c r="AW49" s="99"/>
      <c r="AX49" s="99"/>
      <c r="AY49" s="95"/>
      <c r="AZ49" s="99"/>
      <c r="BA49" s="99"/>
      <c r="BB49" s="99"/>
      <c r="BC49" s="99"/>
      <c r="BD49" s="99"/>
      <c r="BE49" s="99"/>
      <c r="BF49" s="111"/>
      <c r="BI49" s="25"/>
    </row>
    <row r="50" spans="1:61" ht="4.05" customHeight="1" x14ac:dyDescent="0.3">
      <c r="A50" s="355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60"/>
      <c r="Q50" s="361"/>
      <c r="R50" s="361"/>
      <c r="S50" s="362"/>
      <c r="T50" s="112"/>
      <c r="U50" s="99"/>
      <c r="V50" s="112"/>
      <c r="W50" s="95"/>
      <c r="X50" s="112"/>
      <c r="Y50" s="99"/>
      <c r="Z50" s="112"/>
      <c r="AA50" s="99"/>
      <c r="AB50" s="112"/>
      <c r="AC50" s="118"/>
      <c r="AD50" s="112"/>
      <c r="AE50" s="112"/>
      <c r="AF50" s="112"/>
      <c r="AG50" s="112"/>
      <c r="AH50" s="112"/>
      <c r="AI50" s="112"/>
      <c r="AJ50" s="112"/>
      <c r="AK50" s="118"/>
      <c r="AL50" s="117"/>
      <c r="AM50" s="112"/>
      <c r="AN50" s="112"/>
      <c r="AO50" s="112"/>
      <c r="AP50" s="112"/>
      <c r="AQ50" s="95"/>
      <c r="AR50" s="99"/>
      <c r="AS50" s="99"/>
      <c r="AT50" s="99"/>
      <c r="AU50" s="99"/>
      <c r="AV50" s="99"/>
      <c r="AW50" s="99"/>
      <c r="AX50" s="99"/>
      <c r="AY50" s="95"/>
      <c r="AZ50" s="99"/>
      <c r="BA50" s="99"/>
      <c r="BB50" s="99"/>
      <c r="BC50" s="99"/>
      <c r="BD50" s="99"/>
      <c r="BE50" s="99"/>
      <c r="BF50" s="111"/>
      <c r="BI50" s="25"/>
    </row>
    <row r="51" spans="1:61" ht="13.8" customHeight="1" x14ac:dyDescent="0.3">
      <c r="A51" s="355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63"/>
      <c r="Q51" s="364"/>
      <c r="R51" s="364"/>
      <c r="S51" s="365"/>
      <c r="T51" s="121"/>
      <c r="U51" s="38"/>
      <c r="V51" s="121"/>
      <c r="W51" s="37"/>
      <c r="X51" s="112"/>
      <c r="Y51" s="43"/>
      <c r="Z51" s="43"/>
      <c r="AA51" s="99"/>
      <c r="AB51" s="112"/>
      <c r="AC51" s="118"/>
      <c r="AD51" s="121"/>
      <c r="AE51" s="121"/>
      <c r="AF51" s="121"/>
      <c r="AG51" s="121"/>
      <c r="AH51" s="121"/>
      <c r="AI51" s="121"/>
      <c r="AJ51" s="121"/>
      <c r="AK51" s="123"/>
      <c r="AL51" s="122"/>
      <c r="AM51" s="121"/>
      <c r="AN51" s="121"/>
      <c r="AO51" s="121"/>
      <c r="AP51" s="121"/>
      <c r="AQ51" s="37"/>
      <c r="AR51" s="47"/>
      <c r="AS51" s="99"/>
      <c r="AT51" s="99"/>
      <c r="AU51" s="99"/>
      <c r="AV51" s="99"/>
      <c r="AW51" s="99"/>
      <c r="AX51" s="99"/>
      <c r="AY51" s="95"/>
      <c r="AZ51" s="99"/>
      <c r="BA51" s="112" t="s">
        <v>60</v>
      </c>
      <c r="BB51" s="346" t="s">
        <v>115</v>
      </c>
      <c r="BC51" s="346"/>
      <c r="BD51" s="346"/>
      <c r="BE51" s="346"/>
      <c r="BF51" s="111"/>
    </row>
    <row r="52" spans="1:61" ht="1.95" customHeight="1" x14ac:dyDescent="0.3">
      <c r="A52" s="42"/>
      <c r="B52" s="99"/>
      <c r="C52" s="99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5"/>
      <c r="P52" s="56"/>
      <c r="Q52" s="58"/>
      <c r="R52" s="119"/>
      <c r="S52" s="120"/>
      <c r="T52" s="119"/>
      <c r="U52" s="58"/>
      <c r="V52" s="119"/>
      <c r="W52" s="57"/>
      <c r="X52" s="117"/>
      <c r="Y52" s="99"/>
      <c r="Z52" s="112"/>
      <c r="AA52" s="99"/>
      <c r="AB52" s="112"/>
      <c r="AC52" s="118"/>
      <c r="AD52" s="112"/>
      <c r="AE52" s="112"/>
      <c r="AF52" s="112"/>
      <c r="AG52" s="112"/>
      <c r="AH52" s="112"/>
      <c r="AI52" s="112"/>
      <c r="AJ52" s="112"/>
      <c r="AK52" s="118"/>
      <c r="AL52" s="117"/>
      <c r="AM52" s="112"/>
      <c r="AN52" s="112"/>
      <c r="AO52" s="112"/>
      <c r="AP52" s="115"/>
      <c r="AQ52" s="41"/>
      <c r="AR52" s="47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112"/>
    </row>
    <row r="53" spans="1:61" ht="15" customHeight="1" x14ac:dyDescent="0.3">
      <c r="A53" s="99"/>
      <c r="B53" s="112" t="s">
        <v>118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99"/>
      <c r="O53" s="99"/>
      <c r="P53" s="112" t="s">
        <v>117</v>
      </c>
      <c r="Q53" s="99"/>
      <c r="R53" s="112"/>
      <c r="S53" s="112"/>
      <c r="T53" s="113"/>
      <c r="U53" s="99"/>
      <c r="V53" s="112"/>
      <c r="W53" s="99"/>
      <c r="X53" s="112"/>
      <c r="Y53" s="99"/>
      <c r="Z53" s="112"/>
      <c r="AA53" s="99"/>
      <c r="AB53" s="112"/>
      <c r="AC53" s="112"/>
      <c r="AD53" s="115"/>
      <c r="AE53" s="115"/>
      <c r="AF53" s="116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41"/>
      <c r="AR53" s="99"/>
      <c r="AS53" s="99"/>
      <c r="AT53" s="99"/>
      <c r="AU53" s="99"/>
      <c r="AV53" s="99"/>
      <c r="AW53" s="99"/>
      <c r="AX53" s="99"/>
      <c r="AY53" s="99"/>
      <c r="AZ53" s="99"/>
      <c r="BA53" s="112" t="s">
        <v>61</v>
      </c>
      <c r="BB53" s="346" t="s">
        <v>115</v>
      </c>
      <c r="BC53" s="346"/>
      <c r="BD53" s="346"/>
      <c r="BE53" s="346"/>
      <c r="BF53" s="111"/>
    </row>
    <row r="54" spans="1:61" ht="20.55" customHeight="1" x14ac:dyDescent="0.3">
      <c r="A54" s="99"/>
      <c r="B54" s="376" t="s">
        <v>116</v>
      </c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376"/>
      <c r="S54" s="112"/>
      <c r="T54" s="113"/>
      <c r="U54" s="99"/>
      <c r="V54" s="112"/>
      <c r="W54" s="112"/>
      <c r="X54" s="112"/>
      <c r="Y54" s="99"/>
      <c r="Z54" s="112"/>
      <c r="AA54" s="99"/>
      <c r="AB54" s="112"/>
      <c r="AC54" s="112"/>
      <c r="AD54" s="112"/>
      <c r="AE54" s="112"/>
      <c r="AF54" s="112" t="s">
        <v>59</v>
      </c>
      <c r="AG54" s="112"/>
      <c r="AH54" s="112"/>
      <c r="AI54" s="112"/>
      <c r="AJ54" s="112"/>
      <c r="AK54" s="112"/>
      <c r="AM54" s="377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9"/>
      <c r="AY54" s="99"/>
      <c r="AZ54" s="99"/>
      <c r="BA54" s="112" t="s">
        <v>62</v>
      </c>
      <c r="BB54" s="346" t="s">
        <v>115</v>
      </c>
      <c r="BC54" s="346"/>
      <c r="BD54" s="346"/>
      <c r="BE54" s="346"/>
      <c r="BF54" s="111"/>
    </row>
    <row r="55" spans="1:61" ht="19.05" customHeight="1" x14ac:dyDescent="0.3">
      <c r="A55" s="114"/>
      <c r="B55" s="23" t="s">
        <v>114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105"/>
      <c r="Q55" s="105"/>
      <c r="R55" s="112"/>
      <c r="S55" s="112"/>
      <c r="T55" s="113"/>
      <c r="U55" s="99"/>
      <c r="V55" s="112"/>
      <c r="W55" s="112"/>
      <c r="X55" s="112"/>
      <c r="Y55" s="99"/>
      <c r="Z55" s="112"/>
      <c r="AA55" s="99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C55" s="99"/>
      <c r="BD55" s="99"/>
      <c r="BE55" s="99"/>
      <c r="BF55" s="111"/>
    </row>
    <row r="56" spans="1:61" ht="17.55" customHeight="1" x14ac:dyDescent="0.3">
      <c r="A56" s="36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3"/>
      <c r="U56" s="99"/>
      <c r="V56" s="112"/>
      <c r="W56" s="99"/>
      <c r="X56" s="112"/>
      <c r="Y56" s="99"/>
      <c r="Z56" s="112"/>
      <c r="AA56" s="99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B56" s="27" t="s">
        <v>113</v>
      </c>
      <c r="BC56" s="99"/>
      <c r="BD56" s="99"/>
      <c r="BE56" s="99"/>
      <c r="BF56" s="111"/>
    </row>
    <row r="57" spans="1:61" s="32" customFormat="1" ht="4.5" hidden="1" customHeight="1" thickBot="1" x14ac:dyDescent="0.3">
      <c r="A57" s="35"/>
      <c r="B57" s="34"/>
      <c r="C57" s="34"/>
      <c r="D57" s="109"/>
      <c r="E57" s="110"/>
      <c r="F57" s="34"/>
      <c r="G57" s="34"/>
      <c r="H57" s="34"/>
      <c r="I57" s="109"/>
      <c r="J57" s="109"/>
      <c r="K57" s="109"/>
      <c r="L57" s="109"/>
      <c r="M57" s="110"/>
      <c r="N57" s="110"/>
      <c r="O57" s="34"/>
      <c r="P57" s="34"/>
      <c r="Q57" s="34"/>
      <c r="R57" s="109"/>
      <c r="S57" s="109"/>
      <c r="T57" s="110"/>
      <c r="U57" s="34"/>
      <c r="V57" s="109"/>
      <c r="W57" s="34"/>
      <c r="X57" s="109"/>
      <c r="Y57" s="34"/>
      <c r="Z57" s="109"/>
      <c r="AA57" s="34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108"/>
      <c r="BI57" s="33"/>
    </row>
    <row r="58" spans="1:61" ht="25.05" customHeight="1" x14ac:dyDescent="0.3">
      <c r="A58" s="31"/>
    </row>
    <row r="59" spans="1:61" ht="25.05" customHeight="1" x14ac:dyDescent="0.3">
      <c r="A59" s="30"/>
    </row>
    <row r="60" spans="1:61" x14ac:dyDescent="0.3">
      <c r="A60" s="29"/>
    </row>
  </sheetData>
  <dataConsolidate/>
  <mergeCells count="111">
    <mergeCell ref="D52:O52"/>
    <mergeCell ref="BB53:BE53"/>
    <mergeCell ref="B54:P54"/>
    <mergeCell ref="AM54:AX54"/>
    <mergeCell ref="BB54:BE54"/>
    <mergeCell ref="F47:M47"/>
    <mergeCell ref="V47:W47"/>
    <mergeCell ref="AH47:AI47"/>
    <mergeCell ref="AM47:AN47"/>
    <mergeCell ref="AO47:AS47"/>
    <mergeCell ref="AH48:AI48"/>
    <mergeCell ref="BC35:BD35"/>
    <mergeCell ref="V36:W36"/>
    <mergeCell ref="AF36:AJ36"/>
    <mergeCell ref="AM36:AN36"/>
    <mergeCell ref="AO36:AS36"/>
    <mergeCell ref="C22:E29"/>
    <mergeCell ref="C38:E43"/>
    <mergeCell ref="C30:E37"/>
    <mergeCell ref="A49:O51"/>
    <mergeCell ref="P49:S51"/>
    <mergeCell ref="BB51:BE51"/>
    <mergeCell ref="BC43:BD43"/>
    <mergeCell ref="F44:O46"/>
    <mergeCell ref="P44:S46"/>
    <mergeCell ref="AF44:AJ44"/>
    <mergeCell ref="AM44:AN44"/>
    <mergeCell ref="AO44:AS44"/>
    <mergeCell ref="AE46:AI46"/>
    <mergeCell ref="B30:B37"/>
    <mergeCell ref="N30:O37"/>
    <mergeCell ref="AE32:AI32"/>
    <mergeCell ref="G33:L34"/>
    <mergeCell ref="Q33:R34"/>
    <mergeCell ref="AH33:AI33"/>
    <mergeCell ref="B22:B29"/>
    <mergeCell ref="B38:B43"/>
    <mergeCell ref="N38:O43"/>
    <mergeCell ref="G40:L41"/>
    <mergeCell ref="Q40:R41"/>
    <mergeCell ref="AE41:AI41"/>
    <mergeCell ref="AH34:AI34"/>
    <mergeCell ref="G35:H35"/>
    <mergeCell ref="I35:L35"/>
    <mergeCell ref="Q35:R35"/>
    <mergeCell ref="AF35:AJ35"/>
    <mergeCell ref="G42:H42"/>
    <mergeCell ref="I42:L42"/>
    <mergeCell ref="Q42:R42"/>
    <mergeCell ref="AF42:AJ42"/>
    <mergeCell ref="AF43:AJ43"/>
    <mergeCell ref="AH26:AI26"/>
    <mergeCell ref="G27:H27"/>
    <mergeCell ref="I27:L27"/>
    <mergeCell ref="Q27:R27"/>
    <mergeCell ref="AF27:AJ27"/>
    <mergeCell ref="BC27:BD27"/>
    <mergeCell ref="AD21:AK21"/>
    <mergeCell ref="AL21:AY21"/>
    <mergeCell ref="AZ21:BE21"/>
    <mergeCell ref="N22:O28"/>
    <mergeCell ref="AE24:AI24"/>
    <mergeCell ref="G25:L26"/>
    <mergeCell ref="Q25:R26"/>
    <mergeCell ref="AH25:AI25"/>
    <mergeCell ref="V28:W28"/>
    <mergeCell ref="AF28:AJ28"/>
    <mergeCell ref="AM28:AN28"/>
    <mergeCell ref="AO28:AS28"/>
    <mergeCell ref="AL17:AM17"/>
    <mergeCell ref="AO17:AP17"/>
    <mergeCell ref="B20:B21"/>
    <mergeCell ref="C20:E21"/>
    <mergeCell ref="F20:M21"/>
    <mergeCell ref="N20:O21"/>
    <mergeCell ref="P20:S21"/>
    <mergeCell ref="AD20:AY20"/>
    <mergeCell ref="T21:W21"/>
    <mergeCell ref="X21:AB21"/>
    <mergeCell ref="AE14:AG15"/>
    <mergeCell ref="AH14:AH15"/>
    <mergeCell ref="B15:D18"/>
    <mergeCell ref="G15:I16"/>
    <mergeCell ref="K15:L16"/>
    <mergeCell ref="N15:O16"/>
    <mergeCell ref="AE16:AG17"/>
    <mergeCell ref="AH16:AH17"/>
    <mergeCell ref="Y17:AB17"/>
    <mergeCell ref="B12:C13"/>
    <mergeCell ref="AE12:AG13"/>
    <mergeCell ref="AH12:AH13"/>
    <mergeCell ref="AR6:AV8"/>
    <mergeCell ref="B7:C8"/>
    <mergeCell ref="AD7:AK7"/>
    <mergeCell ref="AL7:AQ7"/>
    <mergeCell ref="AX7:BA7"/>
    <mergeCell ref="BB7:BC7"/>
    <mergeCell ref="AH8:AH9"/>
    <mergeCell ref="B9:D11"/>
    <mergeCell ref="E9:R12"/>
    <mergeCell ref="AR9:AV10"/>
    <mergeCell ref="A1:E1"/>
    <mergeCell ref="A2:E2"/>
    <mergeCell ref="AA2:AB2"/>
    <mergeCell ref="AF2:AI2"/>
    <mergeCell ref="A3:E3"/>
    <mergeCell ref="A5:S5"/>
    <mergeCell ref="T5:BF5"/>
    <mergeCell ref="BB9:BC9"/>
    <mergeCell ref="AE10:AG11"/>
    <mergeCell ref="AH10:AH11"/>
  </mergeCells>
  <printOptions horizontalCentered="1"/>
  <pageMargins left="0" right="0" top="0.15748031496062992" bottom="0" header="0" footer="0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59"/>
  <sheetViews>
    <sheetView rightToLeft="1" view="pageBreakPreview" zoomScale="80" zoomScaleSheetLayoutView="80" workbookViewId="0">
      <selection activeCell="BL21" sqref="BL21"/>
    </sheetView>
  </sheetViews>
  <sheetFormatPr defaultColWidth="8.765625" defaultRowHeight="17.399999999999999" x14ac:dyDescent="0.3"/>
  <cols>
    <col min="1" max="1" width="4.15234375" style="28" customWidth="1"/>
    <col min="2" max="2" width="1.53515625" style="28" customWidth="1"/>
    <col min="3" max="3" width="4.07421875" style="25" customWidth="1"/>
    <col min="4" max="4" width="1.53515625" style="25" customWidth="1"/>
    <col min="5" max="5" width="1.84375" style="25" customWidth="1"/>
    <col min="6" max="6" width="2.15234375" style="25" customWidth="1"/>
    <col min="7" max="7" width="1.921875" style="25" customWidth="1"/>
    <col min="8" max="8" width="2" style="25" customWidth="1"/>
    <col min="9" max="9" width="0.61328125" style="25" customWidth="1"/>
    <col min="10" max="10" width="2.3046875" style="25" customWidth="1"/>
    <col min="11" max="11" width="2.3828125" style="25" customWidth="1"/>
    <col min="12" max="12" width="1.23046875" style="25" customWidth="1"/>
    <col min="13" max="13" width="2.15234375" style="25" customWidth="1"/>
    <col min="14" max="14" width="2.765625" style="25" customWidth="1"/>
    <col min="15" max="15" width="0.765625" style="25" customWidth="1"/>
    <col min="16" max="16" width="3.61328125" style="25" customWidth="1"/>
    <col min="17" max="17" width="8.921875" style="25" customWidth="1"/>
    <col min="18" max="18" width="1" style="25" customWidth="1"/>
    <col min="19" max="19" width="1.23046875" style="25" customWidth="1"/>
    <col min="20" max="20" width="2.921875" style="25" customWidth="1"/>
    <col min="21" max="21" width="3.4609375" style="25" customWidth="1"/>
    <col min="22" max="22" width="4.23046875" style="25" customWidth="1"/>
    <col min="23" max="23" width="1.61328125" style="25" customWidth="1"/>
    <col min="24" max="24" width="2.3046875" style="25" customWidth="1"/>
    <col min="25" max="25" width="2.3828125" style="27" customWidth="1"/>
    <col min="26" max="26" width="2" style="27" customWidth="1"/>
    <col min="27" max="27" width="2.15234375" style="27" customWidth="1"/>
    <col min="28" max="28" width="0.69140625" style="27" customWidth="1"/>
    <col min="29" max="29" width="0.4609375" style="27" customWidth="1"/>
    <col min="30" max="30" width="4.69140625" style="27" customWidth="1"/>
    <col min="31" max="31" width="1.23046875" style="27" customWidth="1"/>
    <col min="32" max="32" width="2.15234375" style="27" customWidth="1"/>
    <col min="33" max="33" width="2.61328125" style="27" customWidth="1"/>
    <col min="34" max="34" width="1.15234375" style="27" customWidth="1"/>
    <col min="35" max="35" width="1.921875" style="27" customWidth="1"/>
    <col min="36" max="36" width="1" style="27" customWidth="1"/>
    <col min="37" max="38" width="2.15234375" style="27" customWidth="1"/>
    <col min="39" max="39" width="1.23046875" style="27" customWidth="1"/>
    <col min="40" max="41" width="2.15234375" style="27" customWidth="1"/>
    <col min="42" max="42" width="0.4609375" style="27" customWidth="1"/>
    <col min="43" max="43" width="1.4609375" style="27" customWidth="1"/>
    <col min="44" max="44" width="0.3828125" style="27" customWidth="1"/>
    <col min="45" max="45" width="0.4609375" style="27" customWidth="1"/>
    <col min="46" max="47" width="1.61328125" style="27" customWidth="1"/>
    <col min="48" max="48" width="0.3046875" style="27" customWidth="1"/>
    <col min="49" max="49" width="1.23046875" style="27" customWidth="1"/>
    <col min="50" max="50" width="0.3828125" style="27" customWidth="1"/>
    <col min="51" max="51" width="0.69140625" style="27" hidden="1" customWidth="1"/>
    <col min="52" max="52" width="4.921875" style="27" customWidth="1"/>
    <col min="53" max="53" width="3.4609375" style="27" customWidth="1"/>
    <col min="54" max="54" width="2.23046875" style="27" customWidth="1"/>
    <col min="55" max="55" width="0.4609375" style="27" customWidth="1"/>
    <col min="56" max="56" width="2.15234375" style="27" customWidth="1"/>
    <col min="57" max="57" width="1.23046875" style="25" customWidth="1"/>
    <col min="58" max="58" width="0.15234375" style="25" hidden="1" customWidth="1"/>
    <col min="59" max="59" width="6.61328125" style="25" hidden="1" customWidth="1"/>
    <col min="60" max="60" width="7.53515625" style="26" hidden="1" customWidth="1"/>
    <col min="61" max="61" width="0.3828125" style="25" hidden="1" customWidth="1"/>
    <col min="62" max="16384" width="8.765625" style="25"/>
  </cols>
  <sheetData>
    <row r="1" spans="1:60" ht="18" customHeight="1" x14ac:dyDescent="0.4">
      <c r="A1" s="93" t="s">
        <v>29</v>
      </c>
      <c r="B1" s="93"/>
      <c r="C1" s="93"/>
      <c r="D1" s="93"/>
      <c r="E1" s="89"/>
      <c r="F1" s="89"/>
      <c r="G1" s="89"/>
      <c r="H1" s="92"/>
      <c r="I1" s="92"/>
      <c r="J1" s="92"/>
      <c r="K1" s="92"/>
      <c r="L1" s="89"/>
      <c r="M1" s="89"/>
      <c r="N1" s="89"/>
      <c r="O1" s="89"/>
      <c r="P1" s="89"/>
      <c r="Q1" s="92"/>
      <c r="R1" s="92"/>
      <c r="S1" s="92" t="s">
        <v>129</v>
      </c>
      <c r="T1" s="92"/>
      <c r="U1" s="92"/>
      <c r="V1" s="92"/>
      <c r="W1" s="92"/>
      <c r="X1" s="92"/>
      <c r="Y1" s="92"/>
      <c r="Z1" s="92"/>
      <c r="AA1" s="92"/>
      <c r="AB1" s="89"/>
      <c r="AC1" s="89"/>
      <c r="AD1" s="100"/>
      <c r="AE1" s="100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</row>
    <row r="2" spans="1:60" ht="16.95" customHeight="1" x14ac:dyDescent="0.4">
      <c r="A2" s="93" t="s">
        <v>31</v>
      </c>
      <c r="B2" s="93"/>
      <c r="C2" s="93"/>
      <c r="D2" s="93"/>
      <c r="E2" s="89"/>
      <c r="F2" s="89"/>
      <c r="G2" s="89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 t="s">
        <v>127</v>
      </c>
      <c r="V2" s="89"/>
      <c r="W2" s="89"/>
      <c r="X2" s="89"/>
      <c r="Y2" s="89"/>
      <c r="Z2" s="399">
        <v>31</v>
      </c>
      <c r="AA2" s="399"/>
      <c r="AB2" s="194"/>
      <c r="AC2" s="194"/>
      <c r="AD2" s="193">
        <v>12</v>
      </c>
      <c r="AE2" s="399">
        <v>2025</v>
      </c>
      <c r="AF2" s="399"/>
      <c r="AG2" s="399"/>
      <c r="AH2" s="39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</row>
    <row r="3" spans="1:60" ht="15" customHeight="1" x14ac:dyDescent="0.35">
      <c r="A3" s="281"/>
      <c r="B3" s="281"/>
      <c r="C3" s="281"/>
      <c r="D3" s="281"/>
      <c r="E3" s="89"/>
      <c r="F3" s="89"/>
      <c r="G3" s="89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</row>
    <row r="4" spans="1:60" ht="7.05" customHeight="1" x14ac:dyDescent="0.3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89"/>
      <c r="R4" s="89"/>
      <c r="S4" s="89"/>
      <c r="T4" s="89"/>
      <c r="U4" s="89"/>
      <c r="V4" s="92"/>
      <c r="W4" s="92"/>
      <c r="X4" s="92"/>
      <c r="Y4" s="99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</row>
    <row r="5" spans="1:60" ht="18" customHeight="1" x14ac:dyDescent="0.3">
      <c r="A5" s="283"/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4"/>
      <c r="S5" s="285" t="s">
        <v>32</v>
      </c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7"/>
      <c r="BH5" s="91"/>
    </row>
    <row r="6" spans="1:60" ht="3.6" customHeight="1" x14ac:dyDescent="0.3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80"/>
      <c r="T6" s="102"/>
      <c r="U6" s="102"/>
      <c r="V6" s="102"/>
      <c r="W6" s="102"/>
      <c r="X6" s="102"/>
      <c r="Y6" s="102"/>
      <c r="Z6" s="102"/>
      <c r="AA6" s="102"/>
      <c r="AB6" s="102"/>
      <c r="AC6" s="179"/>
      <c r="AD6" s="102"/>
      <c r="AE6" s="102"/>
      <c r="AF6" s="102"/>
      <c r="AG6" s="102"/>
      <c r="AH6" s="102"/>
      <c r="AI6" s="102"/>
      <c r="AJ6" s="178"/>
      <c r="AK6" s="102"/>
      <c r="AL6" s="102"/>
      <c r="AM6" s="102"/>
      <c r="AN6" s="102"/>
      <c r="AO6" s="102"/>
      <c r="AP6" s="102"/>
      <c r="AQ6" s="294" t="s">
        <v>125</v>
      </c>
      <c r="AR6" s="294"/>
      <c r="AS6" s="294"/>
      <c r="AT6" s="294"/>
      <c r="AU6" s="294"/>
      <c r="AV6" s="102"/>
      <c r="AW6" s="102"/>
      <c r="AX6" s="102"/>
      <c r="AY6" s="102"/>
      <c r="AZ6" s="102"/>
      <c r="BA6" s="102"/>
      <c r="BB6" s="102"/>
      <c r="BC6" s="102"/>
      <c r="BD6" s="102"/>
      <c r="BE6" s="177"/>
      <c r="BH6" s="25"/>
    </row>
    <row r="7" spans="1:60" ht="14.55" customHeight="1" x14ac:dyDescent="0.3">
      <c r="A7" s="293"/>
      <c r="B7" s="293"/>
      <c r="C7" s="86"/>
      <c r="D7" s="99"/>
      <c r="E7" s="99"/>
      <c r="F7" s="99"/>
      <c r="G7" s="99"/>
      <c r="H7" s="70"/>
      <c r="I7" s="70"/>
      <c r="J7" s="70"/>
      <c r="K7" s="70"/>
      <c r="L7" s="99"/>
      <c r="M7" s="99"/>
      <c r="N7" s="99"/>
      <c r="O7" s="99"/>
      <c r="P7" s="99"/>
      <c r="Q7" s="72"/>
      <c r="R7" s="72"/>
      <c r="S7" s="176"/>
      <c r="T7" s="38"/>
      <c r="U7" s="62"/>
      <c r="V7" s="38"/>
      <c r="W7" s="38"/>
      <c r="X7" s="38"/>
      <c r="Y7" s="62"/>
      <c r="Z7" s="38"/>
      <c r="AA7" s="62"/>
      <c r="AB7" s="166"/>
      <c r="AC7" s="295" t="s">
        <v>33</v>
      </c>
      <c r="AD7" s="295"/>
      <c r="AE7" s="295"/>
      <c r="AF7" s="295"/>
      <c r="AG7" s="295"/>
      <c r="AH7" s="295"/>
      <c r="AI7" s="295"/>
      <c r="AJ7" s="295"/>
      <c r="AK7" s="295" t="s">
        <v>34</v>
      </c>
      <c r="AL7" s="295"/>
      <c r="AM7" s="295"/>
      <c r="AN7" s="295"/>
      <c r="AO7" s="295"/>
      <c r="AP7" s="296"/>
      <c r="AQ7" s="294"/>
      <c r="AR7" s="294"/>
      <c r="AS7" s="294"/>
      <c r="AT7" s="294"/>
      <c r="AU7" s="294"/>
      <c r="AV7" s="170"/>
      <c r="AW7" s="297" t="s">
        <v>124</v>
      </c>
      <c r="AX7" s="297"/>
      <c r="AY7" s="297"/>
      <c r="AZ7" s="297"/>
      <c r="BA7" s="288" t="s">
        <v>123</v>
      </c>
      <c r="BB7" s="288"/>
      <c r="BC7" s="170"/>
      <c r="BD7" s="175"/>
      <c r="BE7" s="173"/>
      <c r="BH7" s="25"/>
    </row>
    <row r="8" spans="1:60" ht="3.6" customHeight="1" x14ac:dyDescent="0.3">
      <c r="A8" s="293"/>
      <c r="B8" s="293"/>
      <c r="C8" s="86"/>
      <c r="D8" s="99"/>
      <c r="E8" s="99"/>
      <c r="F8" s="99"/>
      <c r="G8" s="99"/>
      <c r="H8" s="70"/>
      <c r="I8" s="70"/>
      <c r="J8" s="70"/>
      <c r="K8" s="70"/>
      <c r="L8" s="99"/>
      <c r="M8" s="99"/>
      <c r="N8" s="99"/>
      <c r="O8" s="99"/>
      <c r="P8" s="99"/>
      <c r="Q8" s="72"/>
      <c r="R8" s="72"/>
      <c r="S8" s="79"/>
      <c r="T8" s="99"/>
      <c r="U8" s="70"/>
      <c r="V8" s="99"/>
      <c r="W8" s="41"/>
      <c r="X8" s="41"/>
      <c r="Y8" s="71"/>
      <c r="Z8" s="41"/>
      <c r="AA8" s="71"/>
      <c r="AB8" s="174"/>
      <c r="AC8" s="70"/>
      <c r="AD8" s="70"/>
      <c r="AE8" s="70"/>
      <c r="AF8" s="70"/>
      <c r="AG8" s="298"/>
      <c r="AH8" s="70"/>
      <c r="AI8" s="70"/>
      <c r="AJ8" s="70"/>
      <c r="AK8" s="70"/>
      <c r="AL8" s="70"/>
      <c r="AM8" s="70"/>
      <c r="AN8" s="70"/>
      <c r="AO8" s="70"/>
      <c r="AP8" s="41"/>
      <c r="AQ8" s="294"/>
      <c r="AR8" s="294"/>
      <c r="AS8" s="294"/>
      <c r="AT8" s="294"/>
      <c r="AU8" s="294"/>
      <c r="AV8" s="170"/>
      <c r="AW8" s="170"/>
      <c r="AX8" s="170"/>
      <c r="AY8" s="170"/>
      <c r="AZ8" s="170"/>
      <c r="BA8" s="170"/>
      <c r="BB8" s="170"/>
      <c r="BC8" s="170"/>
      <c r="BD8" s="170"/>
      <c r="BE8" s="173"/>
      <c r="BH8" s="25"/>
    </row>
    <row r="9" spans="1:60" ht="13.8" customHeight="1" x14ac:dyDescent="0.4">
      <c r="A9" s="300" t="s">
        <v>35</v>
      </c>
      <c r="B9" s="300"/>
      <c r="C9" s="300"/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0"/>
      <c r="Q9" s="400"/>
      <c r="R9" s="172"/>
      <c r="S9" s="79"/>
      <c r="T9" s="72"/>
      <c r="U9" s="72"/>
      <c r="V9" s="72"/>
      <c r="W9" s="72"/>
      <c r="X9" s="72"/>
      <c r="Y9" s="72"/>
      <c r="Z9" s="72"/>
      <c r="AA9" s="72"/>
      <c r="AB9" s="80"/>
      <c r="AC9" s="72"/>
      <c r="AD9" s="98"/>
      <c r="AE9" s="98"/>
      <c r="AF9" s="80"/>
      <c r="AG9" s="299"/>
      <c r="AH9" s="79"/>
      <c r="AI9" s="76"/>
      <c r="AJ9" s="72"/>
      <c r="AK9" s="72"/>
      <c r="AL9" s="72"/>
      <c r="AM9" s="72"/>
      <c r="AN9" s="72"/>
      <c r="AO9" s="72"/>
      <c r="AP9" s="95"/>
      <c r="AQ9" s="302">
        <v>1</v>
      </c>
      <c r="AR9" s="302"/>
      <c r="AS9" s="302"/>
      <c r="AT9" s="302"/>
      <c r="AU9" s="302"/>
      <c r="AV9" s="99"/>
      <c r="AW9" s="99"/>
      <c r="AX9" s="99"/>
      <c r="AY9" s="99"/>
      <c r="AZ9" s="99"/>
      <c r="BA9" s="288" t="s">
        <v>122</v>
      </c>
      <c r="BB9" s="288"/>
      <c r="BC9" s="99"/>
      <c r="BD9" s="46"/>
      <c r="BE9" s="68"/>
      <c r="BH9" s="25"/>
    </row>
    <row r="10" spans="1:60" ht="3" customHeight="1" x14ac:dyDescent="0.4">
      <c r="A10" s="300"/>
      <c r="B10" s="300"/>
      <c r="C10" s="300"/>
      <c r="D10" s="400"/>
      <c r="E10" s="400"/>
      <c r="F10" s="400"/>
      <c r="G10" s="400"/>
      <c r="H10" s="400"/>
      <c r="I10" s="400"/>
      <c r="J10" s="400"/>
      <c r="K10" s="400"/>
      <c r="L10" s="400"/>
      <c r="M10" s="400"/>
      <c r="N10" s="400"/>
      <c r="O10" s="400"/>
      <c r="P10" s="400"/>
      <c r="Q10" s="400"/>
      <c r="R10" s="172"/>
      <c r="S10" s="79"/>
      <c r="T10" s="72"/>
      <c r="U10" s="72"/>
      <c r="V10" s="72"/>
      <c r="W10" s="72"/>
      <c r="X10" s="72"/>
      <c r="Y10" s="72"/>
      <c r="Z10" s="72"/>
      <c r="AA10" s="72"/>
      <c r="AB10" s="80"/>
      <c r="AC10" s="72"/>
      <c r="AD10" s="289" t="s">
        <v>36</v>
      </c>
      <c r="AE10" s="289"/>
      <c r="AF10" s="290"/>
      <c r="AG10" s="291" t="s">
        <v>37</v>
      </c>
      <c r="AH10" s="79"/>
      <c r="AI10" s="72"/>
      <c r="AJ10" s="72"/>
      <c r="AK10" s="72"/>
      <c r="AL10" s="72"/>
      <c r="AM10" s="72"/>
      <c r="AN10" s="72"/>
      <c r="AO10" s="72"/>
      <c r="AP10" s="95"/>
      <c r="AQ10" s="294"/>
      <c r="AR10" s="294"/>
      <c r="AS10" s="294"/>
      <c r="AT10" s="294"/>
      <c r="AU10" s="294"/>
      <c r="AV10" s="39"/>
      <c r="AW10" s="38"/>
      <c r="AX10" s="38"/>
      <c r="AY10" s="38"/>
      <c r="AZ10" s="38"/>
      <c r="BA10" s="38"/>
      <c r="BB10" s="38"/>
      <c r="BC10" s="38"/>
      <c r="BD10" s="38"/>
      <c r="BE10" s="61"/>
      <c r="BH10" s="25"/>
    </row>
    <row r="11" spans="1:60" ht="11.55" customHeight="1" x14ac:dyDescent="0.4">
      <c r="A11" s="300"/>
      <c r="B11" s="300"/>
      <c r="C11" s="300"/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00"/>
      <c r="O11" s="400"/>
      <c r="P11" s="400"/>
      <c r="Q11" s="400"/>
      <c r="R11" s="172"/>
      <c r="S11" s="79"/>
      <c r="T11" s="72"/>
      <c r="U11" s="72"/>
      <c r="V11" s="72"/>
      <c r="W11" s="72"/>
      <c r="X11" s="72"/>
      <c r="Y11" s="72"/>
      <c r="Z11" s="72"/>
      <c r="AA11" s="72"/>
      <c r="AB11" s="80"/>
      <c r="AC11" s="72"/>
      <c r="AD11" s="289"/>
      <c r="AE11" s="289"/>
      <c r="AF11" s="290"/>
      <c r="AG11" s="292"/>
      <c r="AH11" s="79"/>
      <c r="AI11" s="76"/>
      <c r="AJ11" s="79"/>
      <c r="AK11" s="72"/>
      <c r="AL11" s="72"/>
      <c r="AM11" s="72"/>
      <c r="AN11" s="72"/>
      <c r="AO11" s="72"/>
      <c r="AP11" s="95"/>
      <c r="AQ11" s="171"/>
      <c r="AR11" s="170"/>
      <c r="AS11" s="170"/>
      <c r="AT11" s="170"/>
      <c r="AU11" s="170"/>
      <c r="AV11" s="99"/>
      <c r="AW11" s="99"/>
      <c r="AX11" s="99"/>
      <c r="AY11" s="99"/>
      <c r="AZ11" s="99"/>
      <c r="BA11" s="99"/>
      <c r="BB11" s="99"/>
      <c r="BC11" s="99"/>
      <c r="BD11" s="99"/>
      <c r="BE11" s="68"/>
      <c r="BH11" s="25"/>
    </row>
    <row r="12" spans="1:60" ht="3" customHeight="1" x14ac:dyDescent="0.3">
      <c r="A12" s="293"/>
      <c r="B12" s="293"/>
      <c r="C12" s="86"/>
      <c r="D12" s="400"/>
      <c r="E12" s="400"/>
      <c r="F12" s="400"/>
      <c r="G12" s="400"/>
      <c r="H12" s="400"/>
      <c r="I12" s="400"/>
      <c r="J12" s="400"/>
      <c r="K12" s="400"/>
      <c r="L12" s="400"/>
      <c r="M12" s="400"/>
      <c r="N12" s="400"/>
      <c r="O12" s="400"/>
      <c r="P12" s="400"/>
      <c r="Q12" s="400"/>
      <c r="R12" s="72"/>
      <c r="S12" s="79"/>
      <c r="T12" s="72"/>
      <c r="U12" s="72"/>
      <c r="V12" s="72"/>
      <c r="W12" s="72"/>
      <c r="X12" s="72"/>
      <c r="Y12" s="72"/>
      <c r="Z12" s="72"/>
      <c r="AA12" s="72"/>
      <c r="AB12" s="80"/>
      <c r="AC12" s="72"/>
      <c r="AD12" s="289" t="s">
        <v>38</v>
      </c>
      <c r="AE12" s="289"/>
      <c r="AF12" s="290"/>
      <c r="AG12" s="291" t="s">
        <v>39</v>
      </c>
      <c r="AH12" s="79"/>
      <c r="AI12" s="72"/>
      <c r="AJ12" s="72"/>
      <c r="AK12" s="72"/>
      <c r="AL12" s="72"/>
      <c r="AM12" s="72"/>
      <c r="AN12" s="72"/>
      <c r="AO12" s="72"/>
      <c r="AP12" s="95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68"/>
      <c r="BH12" s="25"/>
    </row>
    <row r="13" spans="1:60" ht="10.199999999999999" customHeight="1" x14ac:dyDescent="0.3">
      <c r="A13" s="293"/>
      <c r="B13" s="293"/>
      <c r="C13" s="86"/>
      <c r="D13" s="194"/>
      <c r="E13" s="194"/>
      <c r="F13" s="194"/>
      <c r="G13" s="194"/>
      <c r="H13" s="195"/>
      <c r="I13" s="195"/>
      <c r="J13" s="195"/>
      <c r="K13" s="195"/>
      <c r="L13" s="194"/>
      <c r="M13" s="194"/>
      <c r="N13" s="194"/>
      <c r="O13" s="194"/>
      <c r="P13" s="194"/>
      <c r="Q13" s="196"/>
      <c r="R13" s="72"/>
      <c r="S13" s="79"/>
      <c r="T13" s="72"/>
      <c r="U13" s="72"/>
      <c r="V13" s="72"/>
      <c r="W13" s="72"/>
      <c r="X13" s="72"/>
      <c r="Y13" s="72"/>
      <c r="Z13" s="72"/>
      <c r="AA13" s="72"/>
      <c r="AB13" s="80"/>
      <c r="AC13" s="72"/>
      <c r="AD13" s="289"/>
      <c r="AE13" s="289"/>
      <c r="AF13" s="290"/>
      <c r="AG13" s="292"/>
      <c r="AH13" s="79"/>
      <c r="AI13" s="76"/>
      <c r="AJ13" s="79"/>
      <c r="AK13" s="72"/>
      <c r="AL13" s="72"/>
      <c r="AM13" s="72"/>
      <c r="AN13" s="72"/>
      <c r="AO13" s="72"/>
      <c r="AP13" s="95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68"/>
      <c r="BH13" s="25"/>
    </row>
    <row r="14" spans="1:60" ht="3" customHeight="1" x14ac:dyDescent="0.3">
      <c r="A14" s="99"/>
      <c r="B14" s="99"/>
      <c r="C14" s="86"/>
      <c r="D14" s="194"/>
      <c r="E14" s="194"/>
      <c r="F14" s="195"/>
      <c r="G14" s="195"/>
      <c r="H14" s="195"/>
      <c r="I14" s="195"/>
      <c r="J14" s="195"/>
      <c r="K14" s="195"/>
      <c r="L14" s="194"/>
      <c r="M14" s="193">
        <v>2</v>
      </c>
      <c r="N14" s="193">
        <v>2</v>
      </c>
      <c r="O14" s="197"/>
      <c r="P14" s="197"/>
      <c r="Q14" s="196"/>
      <c r="R14" s="72"/>
      <c r="S14" s="79"/>
      <c r="T14" s="72"/>
      <c r="U14" s="72"/>
      <c r="V14" s="72"/>
      <c r="W14" s="72"/>
      <c r="X14" s="72"/>
      <c r="Y14" s="72"/>
      <c r="Z14" s="72"/>
      <c r="AA14" s="72"/>
      <c r="AB14" s="80"/>
      <c r="AC14" s="72"/>
      <c r="AD14" s="289" t="s">
        <v>121</v>
      </c>
      <c r="AE14" s="289"/>
      <c r="AF14" s="290"/>
      <c r="AG14" s="291" t="s">
        <v>40</v>
      </c>
      <c r="AH14" s="79"/>
      <c r="AI14" s="72"/>
      <c r="AJ14" s="72"/>
      <c r="AK14" s="72"/>
      <c r="AL14" s="72"/>
      <c r="AM14" s="72"/>
      <c r="AN14" s="72"/>
      <c r="AO14" s="72"/>
      <c r="AP14" s="95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68"/>
      <c r="BH14" s="25"/>
    </row>
    <row r="15" spans="1:60" ht="13.8" customHeight="1" x14ac:dyDescent="0.3">
      <c r="A15" s="300" t="s">
        <v>41</v>
      </c>
      <c r="B15" s="300"/>
      <c r="C15" s="300"/>
      <c r="D15" s="194"/>
      <c r="E15" s="194"/>
      <c r="F15" s="401"/>
      <c r="G15" s="399"/>
      <c r="H15" s="399"/>
      <c r="I15" s="195"/>
      <c r="J15" s="399"/>
      <c r="K15" s="399"/>
      <c r="L15" s="194"/>
      <c r="M15" s="402"/>
      <c r="N15" s="402"/>
      <c r="O15" s="197"/>
      <c r="P15" s="197"/>
      <c r="Q15" s="196"/>
      <c r="R15" s="80"/>
      <c r="S15" s="72"/>
      <c r="T15" s="97"/>
      <c r="U15" s="97"/>
      <c r="V15" s="97"/>
      <c r="W15" s="72"/>
      <c r="X15" s="97"/>
      <c r="Y15" s="97"/>
      <c r="Z15" s="97"/>
      <c r="AA15" s="97"/>
      <c r="AB15" s="80"/>
      <c r="AC15" s="72"/>
      <c r="AD15" s="289"/>
      <c r="AE15" s="289"/>
      <c r="AF15" s="290"/>
      <c r="AG15" s="292"/>
      <c r="AH15" s="79"/>
      <c r="AI15" s="76"/>
      <c r="AJ15" s="72"/>
      <c r="AK15" s="51"/>
      <c r="AL15" s="51"/>
      <c r="AM15" s="72"/>
      <c r="AN15" s="51"/>
      <c r="AO15" s="51"/>
      <c r="AP15" s="95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68"/>
      <c r="BH15" s="25"/>
    </row>
    <row r="16" spans="1:60" ht="7.05" customHeight="1" x14ac:dyDescent="0.3">
      <c r="A16" s="300"/>
      <c r="B16" s="300"/>
      <c r="C16" s="300"/>
      <c r="D16" s="194"/>
      <c r="E16" s="194"/>
      <c r="F16" s="399"/>
      <c r="G16" s="399"/>
      <c r="H16" s="399"/>
      <c r="I16" s="195"/>
      <c r="J16" s="399"/>
      <c r="K16" s="399"/>
      <c r="L16" s="194"/>
      <c r="M16" s="402"/>
      <c r="N16" s="402"/>
      <c r="O16" s="197"/>
      <c r="P16" s="197"/>
      <c r="Q16" s="196"/>
      <c r="R16" s="80"/>
      <c r="S16" s="72"/>
      <c r="T16" s="99"/>
      <c r="U16" s="70"/>
      <c r="V16" s="99"/>
      <c r="W16" s="99"/>
      <c r="X16" s="99"/>
      <c r="Y16" s="70"/>
      <c r="Z16" s="99"/>
      <c r="AA16" s="70"/>
      <c r="AB16" s="80"/>
      <c r="AC16" s="72"/>
      <c r="AD16" s="289" t="s">
        <v>42</v>
      </c>
      <c r="AE16" s="289"/>
      <c r="AF16" s="290"/>
      <c r="AG16" s="291" t="s">
        <v>43</v>
      </c>
      <c r="AH16" s="79"/>
      <c r="AI16" s="88"/>
      <c r="AJ16" s="72"/>
      <c r="AK16" s="72"/>
      <c r="AL16" s="72"/>
      <c r="AM16" s="72"/>
      <c r="AN16" s="72"/>
      <c r="AO16" s="72"/>
      <c r="AP16" s="95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68"/>
      <c r="BH16" s="25"/>
    </row>
    <row r="17" spans="1:60" ht="12.45" customHeight="1" x14ac:dyDescent="0.3">
      <c r="A17" s="300"/>
      <c r="B17" s="300"/>
      <c r="C17" s="300"/>
      <c r="D17" s="99"/>
      <c r="E17" s="99"/>
      <c r="F17" s="82"/>
      <c r="G17" s="84"/>
      <c r="H17" s="84"/>
      <c r="I17" s="85"/>
      <c r="J17" s="82"/>
      <c r="K17" s="84"/>
      <c r="L17" s="83"/>
      <c r="M17" s="82"/>
      <c r="N17" s="81"/>
      <c r="O17" s="168"/>
      <c r="P17" s="168"/>
      <c r="Q17" s="72"/>
      <c r="R17" s="80"/>
      <c r="S17" s="72"/>
      <c r="T17" s="78"/>
      <c r="U17" s="78"/>
      <c r="V17" s="78"/>
      <c r="W17" s="77"/>
      <c r="X17" s="304"/>
      <c r="Y17" s="304"/>
      <c r="Z17" s="304"/>
      <c r="AA17" s="304"/>
      <c r="AB17" s="69"/>
      <c r="AC17" s="70"/>
      <c r="AD17" s="289"/>
      <c r="AE17" s="289"/>
      <c r="AF17" s="290"/>
      <c r="AG17" s="292"/>
      <c r="AH17" s="70"/>
      <c r="AI17" s="76"/>
      <c r="AJ17" s="70"/>
      <c r="AK17" s="305" t="s">
        <v>44</v>
      </c>
      <c r="AL17" s="305"/>
      <c r="AM17" s="70"/>
      <c r="AN17" s="305" t="s">
        <v>19</v>
      </c>
      <c r="AO17" s="305"/>
      <c r="AP17" s="95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68"/>
      <c r="BH17" s="25"/>
    </row>
    <row r="18" spans="1:60" ht="1.05" hidden="1" customHeight="1" x14ac:dyDescent="0.3">
      <c r="A18" s="300"/>
      <c r="B18" s="300"/>
      <c r="C18" s="300"/>
      <c r="D18" s="73"/>
      <c r="E18" s="73"/>
      <c r="F18" s="73"/>
      <c r="G18" s="73"/>
      <c r="H18" s="74"/>
      <c r="I18" s="74"/>
      <c r="J18" s="74"/>
      <c r="K18" s="74"/>
      <c r="L18" s="73"/>
      <c r="M18" s="73"/>
      <c r="N18" s="73"/>
      <c r="O18" s="53"/>
      <c r="P18" s="53"/>
      <c r="Q18" s="167"/>
      <c r="R18" s="80"/>
      <c r="S18" s="72"/>
      <c r="T18" s="99"/>
      <c r="U18" s="70"/>
      <c r="V18" s="99"/>
      <c r="W18" s="99"/>
      <c r="X18" s="99"/>
      <c r="Y18" s="70"/>
      <c r="Z18" s="99"/>
      <c r="AA18" s="70"/>
      <c r="AB18" s="69"/>
      <c r="AC18" s="70"/>
      <c r="AD18" s="70"/>
      <c r="AE18" s="70"/>
      <c r="AF18" s="70"/>
      <c r="AG18" s="71"/>
      <c r="AH18" s="70"/>
      <c r="AI18" s="70"/>
      <c r="AJ18" s="70"/>
      <c r="AK18" s="70"/>
      <c r="AL18" s="70"/>
      <c r="AM18" s="70"/>
      <c r="AN18" s="70"/>
      <c r="AO18" s="69"/>
      <c r="AP18" s="95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68"/>
      <c r="BH18" s="25"/>
    </row>
    <row r="19" spans="1:60" ht="6" customHeight="1" x14ac:dyDescent="0.3">
      <c r="A19" s="38"/>
      <c r="B19" s="38"/>
      <c r="C19" s="66"/>
      <c r="D19" s="38"/>
      <c r="E19" s="38"/>
      <c r="F19" s="38"/>
      <c r="G19" s="38"/>
      <c r="H19" s="62"/>
      <c r="I19" s="62"/>
      <c r="J19" s="62"/>
      <c r="K19" s="62"/>
      <c r="L19" s="38"/>
      <c r="M19" s="38"/>
      <c r="N19" s="38"/>
      <c r="O19" s="38"/>
      <c r="P19" s="38"/>
      <c r="Q19" s="64"/>
      <c r="R19" s="65"/>
      <c r="S19" s="64"/>
      <c r="T19" s="62"/>
      <c r="U19" s="62"/>
      <c r="V19" s="62"/>
      <c r="W19" s="38"/>
      <c r="X19" s="63"/>
      <c r="Y19" s="63"/>
      <c r="Z19" s="38"/>
      <c r="AA19" s="62"/>
      <c r="AB19" s="166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37"/>
      <c r="AQ19" s="39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61"/>
      <c r="BH19" s="60"/>
    </row>
    <row r="20" spans="1:60" ht="16.05" customHeight="1" x14ac:dyDescent="0.3">
      <c r="A20" s="306" t="s">
        <v>45</v>
      </c>
      <c r="B20" s="308" t="s">
        <v>46</v>
      </c>
      <c r="C20" s="309"/>
      <c r="D20" s="310"/>
      <c r="E20" s="314" t="s">
        <v>47</v>
      </c>
      <c r="F20" s="315"/>
      <c r="G20" s="315"/>
      <c r="H20" s="315"/>
      <c r="I20" s="315"/>
      <c r="J20" s="315"/>
      <c r="K20" s="315"/>
      <c r="L20" s="316"/>
      <c r="M20" s="320" t="s">
        <v>48</v>
      </c>
      <c r="N20" s="321"/>
      <c r="O20" s="314" t="s">
        <v>49</v>
      </c>
      <c r="P20" s="315"/>
      <c r="Q20" s="315"/>
      <c r="R20" s="316"/>
      <c r="S20" s="124"/>
      <c r="T20" s="41" t="s">
        <v>120</v>
      </c>
      <c r="U20" s="41"/>
      <c r="V20" s="41"/>
      <c r="W20" s="41"/>
      <c r="X20" s="41"/>
      <c r="Y20" s="41"/>
      <c r="Z20" s="41"/>
      <c r="AA20" s="41"/>
      <c r="AB20" s="40"/>
      <c r="AC20" s="324" t="s">
        <v>119</v>
      </c>
      <c r="AD20" s="324"/>
      <c r="AE20" s="324"/>
      <c r="AF20" s="324"/>
      <c r="AG20" s="324"/>
      <c r="AH20" s="324"/>
      <c r="AI20" s="324"/>
      <c r="AJ20" s="324"/>
      <c r="AK20" s="324"/>
      <c r="AL20" s="324"/>
      <c r="AM20" s="324"/>
      <c r="AN20" s="324"/>
      <c r="AO20" s="324"/>
      <c r="AP20" s="324"/>
      <c r="AQ20" s="324"/>
      <c r="AR20" s="324"/>
      <c r="AS20" s="324"/>
      <c r="AT20" s="324"/>
      <c r="AU20" s="324"/>
      <c r="AV20" s="324"/>
      <c r="AW20" s="324"/>
      <c r="AX20" s="325"/>
      <c r="AY20" s="56"/>
      <c r="AZ20" s="58"/>
      <c r="BA20" s="58"/>
      <c r="BB20" s="58"/>
      <c r="BC20" s="58"/>
      <c r="BD20" s="58"/>
      <c r="BE20" s="165"/>
    </row>
    <row r="21" spans="1:60" ht="21.45" customHeight="1" x14ac:dyDescent="0.3">
      <c r="A21" s="307"/>
      <c r="B21" s="311"/>
      <c r="C21" s="312"/>
      <c r="D21" s="313"/>
      <c r="E21" s="317"/>
      <c r="F21" s="318"/>
      <c r="G21" s="318"/>
      <c r="H21" s="318"/>
      <c r="I21" s="318"/>
      <c r="J21" s="318"/>
      <c r="K21" s="318"/>
      <c r="L21" s="319"/>
      <c r="M21" s="322"/>
      <c r="N21" s="323"/>
      <c r="O21" s="317"/>
      <c r="P21" s="318"/>
      <c r="Q21" s="318"/>
      <c r="R21" s="319"/>
      <c r="S21" s="326"/>
      <c r="T21" s="327"/>
      <c r="U21" s="327"/>
      <c r="V21" s="327"/>
      <c r="W21" s="327" t="s">
        <v>51</v>
      </c>
      <c r="X21" s="327"/>
      <c r="Y21" s="327"/>
      <c r="Z21" s="327"/>
      <c r="AA21" s="327"/>
      <c r="AB21" s="37"/>
      <c r="AC21" s="324" t="s">
        <v>52</v>
      </c>
      <c r="AD21" s="324"/>
      <c r="AE21" s="324"/>
      <c r="AF21" s="324"/>
      <c r="AG21" s="324"/>
      <c r="AH21" s="324"/>
      <c r="AI21" s="324"/>
      <c r="AJ21" s="325"/>
      <c r="AK21" s="330" t="s">
        <v>50</v>
      </c>
      <c r="AL21" s="324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5"/>
      <c r="AY21" s="330" t="s">
        <v>53</v>
      </c>
      <c r="AZ21" s="324"/>
      <c r="BA21" s="324"/>
      <c r="BB21" s="324"/>
      <c r="BC21" s="324"/>
      <c r="BD21" s="324"/>
      <c r="BE21" s="164"/>
    </row>
    <row r="22" spans="1:60" ht="7.05" customHeight="1" x14ac:dyDescent="0.3">
      <c r="A22" s="339" t="s">
        <v>27</v>
      </c>
      <c r="B22" s="382"/>
      <c r="C22" s="383"/>
      <c r="D22" s="384"/>
      <c r="E22" s="198"/>
      <c r="F22" s="199"/>
      <c r="G22" s="199"/>
      <c r="H22" s="199"/>
      <c r="I22" s="199"/>
      <c r="J22" s="199"/>
      <c r="K22" s="199"/>
      <c r="L22" s="200"/>
      <c r="M22" s="409">
        <v>0.11</v>
      </c>
      <c r="N22" s="410"/>
      <c r="O22" s="201"/>
      <c r="P22" s="202"/>
      <c r="Q22" s="202"/>
      <c r="R22" s="161"/>
      <c r="S22" s="124"/>
      <c r="T22" s="41"/>
      <c r="U22" s="115"/>
      <c r="V22" s="41"/>
      <c r="W22" s="115"/>
      <c r="X22" s="41"/>
      <c r="Y22" s="115"/>
      <c r="Z22" s="41"/>
      <c r="AA22" s="115"/>
      <c r="AB22" s="118"/>
      <c r="AC22" s="115"/>
      <c r="AD22" s="115"/>
      <c r="AE22" s="115"/>
      <c r="AF22" s="115"/>
      <c r="AG22" s="115"/>
      <c r="AH22" s="115"/>
      <c r="AI22" s="115"/>
      <c r="AJ22" s="125"/>
      <c r="AK22" s="112"/>
      <c r="AL22" s="112"/>
      <c r="AM22" s="112"/>
      <c r="AN22" s="112"/>
      <c r="AO22" s="112"/>
      <c r="AP22" s="99"/>
      <c r="AQ22" s="99"/>
      <c r="AR22" s="99"/>
      <c r="AS22" s="99"/>
      <c r="AT22" s="99"/>
      <c r="AU22" s="99"/>
      <c r="AV22" s="99"/>
      <c r="AW22" s="41"/>
      <c r="AX22" s="40"/>
      <c r="AY22" s="99"/>
      <c r="AZ22" s="99"/>
      <c r="BA22" s="99"/>
      <c r="BB22" s="99"/>
      <c r="BC22" s="99"/>
      <c r="BD22" s="99"/>
      <c r="BE22" s="111"/>
    </row>
    <row r="23" spans="1:60" ht="13.95" customHeight="1" x14ac:dyDescent="0.3">
      <c r="A23" s="340"/>
      <c r="B23" s="385"/>
      <c r="C23" s="381"/>
      <c r="D23" s="386"/>
      <c r="E23" s="203"/>
      <c r="F23" s="204"/>
      <c r="G23" s="204"/>
      <c r="H23" s="204"/>
      <c r="I23" s="204"/>
      <c r="J23" s="204"/>
      <c r="K23" s="204"/>
      <c r="L23" s="205"/>
      <c r="M23" s="411"/>
      <c r="N23" s="412"/>
      <c r="O23" s="206"/>
      <c r="P23" s="207"/>
      <c r="Q23" s="207"/>
      <c r="R23" s="155"/>
      <c r="S23" s="117"/>
      <c r="T23" s="99"/>
      <c r="U23" s="112"/>
      <c r="V23" s="99"/>
      <c r="W23" s="112"/>
      <c r="X23" s="45"/>
      <c r="Y23" s="45"/>
      <c r="Z23" s="53"/>
      <c r="AA23" s="134"/>
      <c r="AB23" s="118"/>
      <c r="AC23" s="112"/>
      <c r="AD23" s="112"/>
      <c r="AE23" s="112"/>
      <c r="AF23" s="112"/>
      <c r="AG23" s="112"/>
      <c r="AH23" s="112"/>
      <c r="AI23" s="112"/>
      <c r="AJ23" s="118"/>
      <c r="AK23" s="112"/>
      <c r="AL23" s="112"/>
      <c r="AM23" s="112"/>
      <c r="AN23" s="112"/>
      <c r="AO23" s="112"/>
      <c r="AP23" s="99"/>
      <c r="AQ23" s="99"/>
      <c r="AR23" s="99"/>
      <c r="AS23" s="99"/>
      <c r="AT23" s="45"/>
      <c r="AU23" s="45"/>
      <c r="AV23" s="47"/>
      <c r="AW23" s="46"/>
      <c r="AX23" s="95"/>
      <c r="AY23" s="99"/>
      <c r="AZ23" s="99"/>
      <c r="BA23" s="99"/>
      <c r="BB23" s="99"/>
      <c r="BC23" s="99"/>
      <c r="BD23" s="99"/>
      <c r="BE23" s="111"/>
    </row>
    <row r="24" spans="1:60" ht="9" customHeight="1" x14ac:dyDescent="0.3">
      <c r="A24" s="340"/>
      <c r="B24" s="385"/>
      <c r="C24" s="381"/>
      <c r="D24" s="386"/>
      <c r="E24" s="203"/>
      <c r="F24" s="204"/>
      <c r="G24" s="204"/>
      <c r="H24" s="204"/>
      <c r="I24" s="204"/>
      <c r="J24" s="204"/>
      <c r="K24" s="204"/>
      <c r="L24" s="205"/>
      <c r="M24" s="411"/>
      <c r="N24" s="412"/>
      <c r="O24" s="206"/>
      <c r="P24" s="204"/>
      <c r="Q24" s="204"/>
      <c r="R24" s="155"/>
      <c r="S24" s="117"/>
      <c r="T24" s="99"/>
      <c r="U24" s="112"/>
      <c r="V24" s="99"/>
      <c r="W24" s="112"/>
      <c r="X24" s="99"/>
      <c r="Y24" s="99"/>
      <c r="Z24" s="99"/>
      <c r="AA24" s="112"/>
      <c r="AB24" s="118"/>
      <c r="AC24" s="112"/>
      <c r="AD24" s="335"/>
      <c r="AE24" s="335"/>
      <c r="AF24" s="335"/>
      <c r="AG24" s="335"/>
      <c r="AH24" s="335"/>
      <c r="AI24" s="112"/>
      <c r="AJ24" s="118"/>
      <c r="AK24" s="112"/>
      <c r="AL24" s="112"/>
      <c r="AM24" s="112"/>
      <c r="AN24" s="112"/>
      <c r="AO24" s="112"/>
      <c r="AP24" s="99"/>
      <c r="AQ24" s="99"/>
      <c r="AR24" s="99"/>
      <c r="AS24" s="99"/>
      <c r="AT24" s="99"/>
      <c r="AU24" s="99"/>
      <c r="AV24" s="99"/>
      <c r="AW24" s="99"/>
      <c r="AX24" s="95"/>
      <c r="AY24" s="99"/>
      <c r="AZ24" s="99"/>
      <c r="BA24" s="99"/>
      <c r="BB24" s="99"/>
      <c r="BC24" s="99"/>
      <c r="BD24" s="99"/>
      <c r="BE24" s="111"/>
    </row>
    <row r="25" spans="1:60" ht="13.95" customHeight="1" x14ac:dyDescent="0.4">
      <c r="A25" s="340"/>
      <c r="B25" s="385"/>
      <c r="C25" s="381"/>
      <c r="D25" s="386"/>
      <c r="E25" s="203"/>
      <c r="F25" s="381"/>
      <c r="G25" s="381"/>
      <c r="H25" s="381"/>
      <c r="I25" s="381"/>
      <c r="J25" s="381"/>
      <c r="K25" s="381"/>
      <c r="L25" s="205"/>
      <c r="M25" s="411"/>
      <c r="N25" s="412"/>
      <c r="O25" s="206"/>
      <c r="P25" s="381"/>
      <c r="Q25" s="381"/>
      <c r="R25" s="155"/>
      <c r="S25" s="117"/>
      <c r="T25" s="99"/>
      <c r="U25" s="112"/>
      <c r="V25" s="99"/>
      <c r="W25" s="112"/>
      <c r="X25" s="49">
        <v>1</v>
      </c>
      <c r="Y25" s="49">
        <v>0</v>
      </c>
      <c r="Z25" s="53"/>
      <c r="AA25" s="134"/>
      <c r="AB25" s="118"/>
      <c r="AC25" s="112"/>
      <c r="AD25" s="112"/>
      <c r="AE25" s="112"/>
      <c r="AF25" s="112"/>
      <c r="AG25" s="337"/>
      <c r="AH25" s="337"/>
      <c r="AI25" s="112"/>
      <c r="AJ25" s="118"/>
      <c r="AK25" s="112"/>
      <c r="AL25" s="112"/>
      <c r="AM25" s="112"/>
      <c r="AN25" s="112"/>
      <c r="AO25" s="112"/>
      <c r="AP25" s="99"/>
      <c r="AQ25" s="99"/>
      <c r="AR25" s="99"/>
      <c r="AS25" s="99"/>
      <c r="AT25" s="104">
        <v>7</v>
      </c>
      <c r="AU25" s="104">
        <v>0</v>
      </c>
      <c r="AV25" s="47">
        <v>0</v>
      </c>
      <c r="AW25" s="46"/>
      <c r="AX25" s="95"/>
      <c r="AY25" s="99"/>
      <c r="AZ25" s="99"/>
      <c r="BA25" s="99"/>
      <c r="BB25" s="99"/>
      <c r="BC25" s="99"/>
      <c r="BD25" s="99"/>
      <c r="BE25" s="111"/>
    </row>
    <row r="26" spans="1:60" ht="10.8" customHeight="1" x14ac:dyDescent="0.3">
      <c r="A26" s="340"/>
      <c r="B26" s="385"/>
      <c r="C26" s="381"/>
      <c r="D26" s="386"/>
      <c r="E26" s="203"/>
      <c r="F26" s="381"/>
      <c r="G26" s="381"/>
      <c r="H26" s="381"/>
      <c r="I26" s="381"/>
      <c r="J26" s="381"/>
      <c r="K26" s="381"/>
      <c r="L26" s="205"/>
      <c r="M26" s="411"/>
      <c r="N26" s="412"/>
      <c r="O26" s="206"/>
      <c r="P26" s="381"/>
      <c r="Q26" s="381"/>
      <c r="R26" s="155"/>
      <c r="S26" s="117"/>
      <c r="T26" s="99"/>
      <c r="U26" s="112"/>
      <c r="V26" s="99"/>
      <c r="W26" s="112"/>
      <c r="X26" s="43"/>
      <c r="Y26" s="160"/>
      <c r="Z26" s="99"/>
      <c r="AA26" s="112"/>
      <c r="AB26" s="118"/>
      <c r="AC26" s="112"/>
      <c r="AD26" s="126"/>
      <c r="AE26" s="126"/>
      <c r="AF26" s="112"/>
      <c r="AG26" s="344"/>
      <c r="AH26" s="344"/>
      <c r="AI26" s="112"/>
      <c r="AJ26" s="118"/>
      <c r="AK26" s="112"/>
      <c r="AL26" s="112"/>
      <c r="AM26" s="112"/>
      <c r="AN26" s="112"/>
      <c r="AO26" s="112"/>
      <c r="AP26" s="99"/>
      <c r="AQ26" s="99"/>
      <c r="AR26" s="99"/>
      <c r="AS26" s="99"/>
      <c r="AT26" s="107"/>
      <c r="AU26" s="107"/>
      <c r="AV26" s="99"/>
      <c r="AW26" s="99"/>
      <c r="AX26" s="95"/>
      <c r="AY26" s="99"/>
      <c r="AZ26" s="99"/>
      <c r="BA26" s="99"/>
      <c r="BB26" s="99"/>
      <c r="BC26" s="99"/>
      <c r="BD26" s="99"/>
      <c r="BE26" s="111"/>
    </row>
    <row r="27" spans="1:60" ht="11.4" customHeight="1" x14ac:dyDescent="0.3">
      <c r="A27" s="340"/>
      <c r="B27" s="385"/>
      <c r="C27" s="381"/>
      <c r="D27" s="386"/>
      <c r="E27" s="203"/>
      <c r="F27" s="381"/>
      <c r="G27" s="381"/>
      <c r="H27" s="381"/>
      <c r="I27" s="381"/>
      <c r="J27" s="381"/>
      <c r="K27" s="381"/>
      <c r="L27" s="205"/>
      <c r="M27" s="411"/>
      <c r="N27" s="412"/>
      <c r="O27" s="206"/>
      <c r="P27" s="381"/>
      <c r="Q27" s="381"/>
      <c r="R27" s="155"/>
      <c r="S27" s="117"/>
      <c r="T27" s="99"/>
      <c r="U27" s="112"/>
      <c r="V27" s="99"/>
      <c r="W27" s="118"/>
      <c r="X27" s="49">
        <v>1</v>
      </c>
      <c r="Y27" s="49">
        <v>1</v>
      </c>
      <c r="Z27" s="48"/>
      <c r="AA27" s="134"/>
      <c r="AB27" s="118"/>
      <c r="AC27" s="112"/>
      <c r="AD27" s="112"/>
      <c r="AE27" s="346"/>
      <c r="AF27" s="346"/>
      <c r="AG27" s="346"/>
      <c r="AH27" s="346"/>
      <c r="AI27" s="346"/>
      <c r="AJ27" s="118"/>
      <c r="AK27" s="112"/>
      <c r="AL27" s="112"/>
      <c r="AM27" s="112"/>
      <c r="AN27" s="112"/>
      <c r="AO27" s="112"/>
      <c r="AP27" s="99"/>
      <c r="AQ27" s="99"/>
      <c r="AR27" s="99"/>
      <c r="AS27" s="99"/>
      <c r="AT27" s="104">
        <v>7</v>
      </c>
      <c r="AU27" s="104">
        <v>7</v>
      </c>
      <c r="AV27" s="47">
        <v>7</v>
      </c>
      <c r="AW27" s="46"/>
      <c r="AX27" s="95"/>
      <c r="AY27" s="99"/>
      <c r="AZ27" s="94"/>
      <c r="BA27" s="94"/>
      <c r="BB27" s="328"/>
      <c r="BC27" s="329"/>
      <c r="BD27" s="159">
        <v>3</v>
      </c>
      <c r="BE27" s="158"/>
    </row>
    <row r="28" spans="1:60" ht="10.5" customHeight="1" x14ac:dyDescent="0.3">
      <c r="A28" s="340"/>
      <c r="B28" s="385"/>
      <c r="C28" s="381"/>
      <c r="D28" s="386"/>
      <c r="E28" s="203"/>
      <c r="F28" s="204"/>
      <c r="G28" s="204"/>
      <c r="H28" s="204"/>
      <c r="I28" s="204"/>
      <c r="J28" s="204"/>
      <c r="K28" s="204"/>
      <c r="L28" s="205"/>
      <c r="M28" s="411"/>
      <c r="N28" s="412"/>
      <c r="O28" s="206"/>
      <c r="P28" s="207"/>
      <c r="Q28" s="207"/>
      <c r="R28" s="155"/>
      <c r="S28" s="117"/>
      <c r="T28" s="45"/>
      <c r="U28" s="338"/>
      <c r="V28" s="338"/>
      <c r="W28" s="112"/>
      <c r="X28" s="52"/>
      <c r="Y28" s="52"/>
      <c r="Z28" s="99"/>
      <c r="AA28" s="112"/>
      <c r="AB28" s="118"/>
      <c r="AC28" s="112"/>
      <c r="AD28" s="148"/>
      <c r="AE28" s="338"/>
      <c r="AF28" s="338"/>
      <c r="AG28" s="338"/>
      <c r="AH28" s="338"/>
      <c r="AI28" s="338"/>
      <c r="AJ28" s="118"/>
      <c r="AK28" s="112"/>
      <c r="AL28" s="338"/>
      <c r="AM28" s="338"/>
      <c r="AN28" s="338"/>
      <c r="AO28" s="338"/>
      <c r="AP28" s="338"/>
      <c r="AQ28" s="338"/>
      <c r="AR28" s="338"/>
      <c r="AS28" s="99"/>
      <c r="AT28" s="99"/>
      <c r="AU28" s="99"/>
      <c r="AV28" s="99"/>
      <c r="AW28" s="99"/>
      <c r="AX28" s="95"/>
      <c r="AY28" s="99"/>
      <c r="AZ28" s="99"/>
      <c r="BA28" s="99"/>
      <c r="BB28" s="99"/>
      <c r="BC28" s="99"/>
      <c r="BD28" s="99"/>
      <c r="BE28" s="111"/>
    </row>
    <row r="29" spans="1:60" ht="4.05" customHeight="1" x14ac:dyDescent="0.3">
      <c r="A29" s="341"/>
      <c r="B29" s="387"/>
      <c r="C29" s="388"/>
      <c r="D29" s="389"/>
      <c r="E29" s="208"/>
      <c r="F29" s="209"/>
      <c r="G29" s="209"/>
      <c r="H29" s="209"/>
      <c r="I29" s="209"/>
      <c r="J29" s="209"/>
      <c r="K29" s="209"/>
      <c r="L29" s="210"/>
      <c r="M29" s="211"/>
      <c r="N29" s="212"/>
      <c r="O29" s="213"/>
      <c r="P29" s="214"/>
      <c r="Q29" s="214"/>
      <c r="R29" s="150"/>
      <c r="S29" s="122"/>
      <c r="T29" s="38"/>
      <c r="U29" s="121"/>
      <c r="V29" s="38"/>
      <c r="W29" s="121"/>
      <c r="X29" s="55"/>
      <c r="Y29" s="55"/>
      <c r="Z29" s="38"/>
      <c r="AA29" s="121"/>
      <c r="AB29" s="123"/>
      <c r="AC29" s="121"/>
      <c r="AD29" s="121"/>
      <c r="AE29" s="121"/>
      <c r="AF29" s="121"/>
      <c r="AG29" s="121"/>
      <c r="AH29" s="121"/>
      <c r="AI29" s="121"/>
      <c r="AJ29" s="123"/>
      <c r="AK29" s="122"/>
      <c r="AL29" s="121"/>
      <c r="AM29" s="121"/>
      <c r="AN29" s="121"/>
      <c r="AO29" s="121"/>
      <c r="AP29" s="38"/>
      <c r="AQ29" s="38"/>
      <c r="AR29" s="38"/>
      <c r="AS29" s="38"/>
      <c r="AT29" s="38"/>
      <c r="AU29" s="38"/>
      <c r="AV29" s="38"/>
      <c r="AW29" s="38"/>
      <c r="AX29" s="37"/>
      <c r="AY29" s="38"/>
      <c r="AZ29" s="38"/>
      <c r="BA29" s="38"/>
      <c r="BB29" s="38"/>
      <c r="BC29" s="38"/>
      <c r="BD29" s="38"/>
      <c r="BE29" s="147"/>
    </row>
    <row r="30" spans="1:60" ht="6.45" customHeight="1" x14ac:dyDescent="0.3">
      <c r="A30" s="339" t="s">
        <v>54</v>
      </c>
      <c r="B30" s="382"/>
      <c r="C30" s="383"/>
      <c r="D30" s="384"/>
      <c r="E30" s="199"/>
      <c r="F30" s="199"/>
      <c r="G30" s="199"/>
      <c r="H30" s="199"/>
      <c r="I30" s="199"/>
      <c r="J30" s="199"/>
      <c r="K30" s="199"/>
      <c r="L30" s="200"/>
      <c r="M30" s="403" t="s">
        <v>55</v>
      </c>
      <c r="N30" s="404"/>
      <c r="O30" s="198"/>
      <c r="P30" s="199"/>
      <c r="Q30" s="199"/>
      <c r="R30" s="145"/>
      <c r="S30" s="124"/>
      <c r="T30" s="41"/>
      <c r="U30" s="115"/>
      <c r="V30" s="41"/>
      <c r="W30" s="115"/>
      <c r="X30" s="54"/>
      <c r="Y30" s="54"/>
      <c r="Z30" s="41"/>
      <c r="AA30" s="115"/>
      <c r="AB30" s="125"/>
      <c r="AC30" s="115"/>
      <c r="AD30" s="115"/>
      <c r="AE30" s="115"/>
      <c r="AF30" s="115"/>
      <c r="AG30" s="115"/>
      <c r="AH30" s="115"/>
      <c r="AI30" s="115"/>
      <c r="AJ30" s="125"/>
      <c r="AK30" s="112"/>
      <c r="AL30" s="112"/>
      <c r="AM30" s="112"/>
      <c r="AN30" s="112"/>
      <c r="AO30" s="112"/>
      <c r="AP30" s="99"/>
      <c r="AQ30" s="99"/>
      <c r="AR30" s="99"/>
      <c r="AS30" s="99"/>
      <c r="AT30" s="99"/>
      <c r="AU30" s="99"/>
      <c r="AV30" s="99"/>
      <c r="AW30" s="41"/>
      <c r="AX30" s="40"/>
      <c r="AY30" s="99"/>
      <c r="AZ30" s="99"/>
      <c r="BA30" s="99"/>
      <c r="BB30" s="99"/>
      <c r="BC30" s="99"/>
      <c r="BD30" s="99"/>
      <c r="BE30" s="111"/>
    </row>
    <row r="31" spans="1:60" ht="14.4" customHeight="1" x14ac:dyDescent="0.3">
      <c r="A31" s="340"/>
      <c r="B31" s="385"/>
      <c r="C31" s="381"/>
      <c r="D31" s="386"/>
      <c r="E31" s="204"/>
      <c r="F31" s="204"/>
      <c r="G31" s="204"/>
      <c r="H31" s="204"/>
      <c r="I31" s="204"/>
      <c r="J31" s="204"/>
      <c r="K31" s="204"/>
      <c r="L31" s="205"/>
      <c r="M31" s="405"/>
      <c r="N31" s="406"/>
      <c r="O31" s="203"/>
      <c r="P31" s="204"/>
      <c r="Q31" s="204"/>
      <c r="R31" s="142"/>
      <c r="S31" s="117"/>
      <c r="T31" s="99"/>
      <c r="U31" s="112"/>
      <c r="V31" s="99"/>
      <c r="W31" s="112"/>
      <c r="X31" s="51"/>
      <c r="Y31" s="51"/>
      <c r="Z31" s="53"/>
      <c r="AA31" s="134"/>
      <c r="AB31" s="118"/>
      <c r="AC31" s="112"/>
      <c r="AD31" s="112"/>
      <c r="AE31" s="112"/>
      <c r="AF31" s="112"/>
      <c r="AG31" s="112"/>
      <c r="AH31" s="112"/>
      <c r="AI31" s="112"/>
      <c r="AJ31" s="118"/>
      <c r="AK31" s="112"/>
      <c r="AL31" s="112"/>
      <c r="AM31" s="112"/>
      <c r="AN31" s="112"/>
      <c r="AO31" s="112"/>
      <c r="AP31" s="99"/>
      <c r="AQ31" s="99"/>
      <c r="AR31" s="99"/>
      <c r="AS31" s="99"/>
      <c r="AT31" s="45"/>
      <c r="AU31" s="45"/>
      <c r="AV31" s="47"/>
      <c r="AW31" s="46"/>
      <c r="AX31" s="95"/>
      <c r="AY31" s="99"/>
      <c r="AZ31" s="99"/>
      <c r="BA31" s="99"/>
      <c r="BB31" s="99"/>
      <c r="BC31" s="99"/>
      <c r="BD31" s="99"/>
      <c r="BE31" s="111"/>
    </row>
    <row r="32" spans="1:60" ht="8.4" customHeight="1" x14ac:dyDescent="0.3">
      <c r="A32" s="340"/>
      <c r="B32" s="385"/>
      <c r="C32" s="381"/>
      <c r="D32" s="386"/>
      <c r="E32" s="204"/>
      <c r="F32" s="204"/>
      <c r="G32" s="204"/>
      <c r="H32" s="204"/>
      <c r="I32" s="204"/>
      <c r="J32" s="204"/>
      <c r="K32" s="204"/>
      <c r="L32" s="205"/>
      <c r="M32" s="405"/>
      <c r="N32" s="406"/>
      <c r="O32" s="203"/>
      <c r="P32" s="204"/>
      <c r="Q32" s="204"/>
      <c r="R32" s="142"/>
      <c r="S32" s="117"/>
      <c r="T32" s="99"/>
      <c r="U32" s="112"/>
      <c r="V32" s="99"/>
      <c r="W32" s="112"/>
      <c r="X32" s="43"/>
      <c r="Y32" s="43"/>
      <c r="Z32" s="99"/>
      <c r="AA32" s="112"/>
      <c r="AB32" s="118"/>
      <c r="AC32" s="112"/>
      <c r="AD32" s="335"/>
      <c r="AE32" s="335"/>
      <c r="AF32" s="335"/>
      <c r="AG32" s="335"/>
      <c r="AH32" s="335"/>
      <c r="AI32" s="112"/>
      <c r="AJ32" s="118"/>
      <c r="AK32" s="112"/>
      <c r="AL32" s="112"/>
      <c r="AM32" s="112"/>
      <c r="AN32" s="112"/>
      <c r="AO32" s="112"/>
      <c r="AP32" s="99"/>
      <c r="AQ32" s="99"/>
      <c r="AR32" s="99"/>
      <c r="AS32" s="99"/>
      <c r="AT32" s="99"/>
      <c r="AU32" s="99"/>
      <c r="AV32" s="99"/>
      <c r="AW32" s="99"/>
      <c r="AX32" s="95"/>
      <c r="AY32" s="99"/>
      <c r="AZ32" s="99"/>
      <c r="BA32" s="99"/>
      <c r="BB32" s="99"/>
      <c r="BC32" s="99"/>
      <c r="BD32" s="99"/>
      <c r="BE32" s="111"/>
    </row>
    <row r="33" spans="1:60" ht="15" customHeight="1" x14ac:dyDescent="0.4">
      <c r="A33" s="340"/>
      <c r="B33" s="385"/>
      <c r="C33" s="381"/>
      <c r="D33" s="386"/>
      <c r="E33" s="204"/>
      <c r="F33" s="381"/>
      <c r="G33" s="381"/>
      <c r="H33" s="381"/>
      <c r="I33" s="381"/>
      <c r="J33" s="381"/>
      <c r="K33" s="381"/>
      <c r="L33" s="205"/>
      <c r="M33" s="405"/>
      <c r="N33" s="406"/>
      <c r="O33" s="203"/>
      <c r="P33" s="381"/>
      <c r="Q33" s="381"/>
      <c r="R33" s="142"/>
      <c r="S33" s="117"/>
      <c r="T33" s="99"/>
      <c r="U33" s="112"/>
      <c r="V33" s="99"/>
      <c r="W33" s="112"/>
      <c r="X33" s="49">
        <v>1</v>
      </c>
      <c r="Y33" s="49">
        <v>0</v>
      </c>
      <c r="Z33" s="53"/>
      <c r="AA33" s="134"/>
      <c r="AB33" s="118"/>
      <c r="AC33" s="112"/>
      <c r="AD33" s="112"/>
      <c r="AE33" s="112"/>
      <c r="AF33" s="112"/>
      <c r="AG33" s="337"/>
      <c r="AH33" s="337"/>
      <c r="AI33" s="112"/>
      <c r="AJ33" s="118"/>
      <c r="AK33" s="112"/>
      <c r="AL33" s="112"/>
      <c r="AM33" s="112"/>
      <c r="AN33" s="112"/>
      <c r="AO33" s="112"/>
      <c r="AP33" s="99"/>
      <c r="AQ33" s="99"/>
      <c r="AR33" s="99"/>
      <c r="AS33" s="99"/>
      <c r="AT33" s="104">
        <v>7</v>
      </c>
      <c r="AU33" s="104">
        <v>0</v>
      </c>
      <c r="AV33" s="47">
        <v>0</v>
      </c>
      <c r="AW33" s="46"/>
      <c r="AX33" s="95"/>
      <c r="AY33" s="99"/>
      <c r="AZ33" s="99"/>
      <c r="BA33" s="99"/>
      <c r="BB33" s="99"/>
      <c r="BC33" s="99"/>
      <c r="BD33" s="99"/>
      <c r="BE33" s="111"/>
    </row>
    <row r="34" spans="1:60" ht="9.6" customHeight="1" x14ac:dyDescent="0.3">
      <c r="A34" s="340"/>
      <c r="B34" s="385"/>
      <c r="C34" s="381"/>
      <c r="D34" s="386"/>
      <c r="E34" s="204"/>
      <c r="F34" s="381"/>
      <c r="G34" s="381"/>
      <c r="H34" s="381"/>
      <c r="I34" s="381"/>
      <c r="J34" s="381"/>
      <c r="K34" s="381"/>
      <c r="L34" s="205"/>
      <c r="M34" s="405"/>
      <c r="N34" s="406"/>
      <c r="O34" s="203"/>
      <c r="P34" s="381"/>
      <c r="Q34" s="381"/>
      <c r="R34" s="142"/>
      <c r="S34" s="117"/>
      <c r="T34" s="99"/>
      <c r="U34" s="112"/>
      <c r="V34" s="99"/>
      <c r="W34" s="112"/>
      <c r="X34" s="99"/>
      <c r="Y34" s="112"/>
      <c r="Z34" s="99"/>
      <c r="AA34" s="112"/>
      <c r="AB34" s="118"/>
      <c r="AC34" s="112"/>
      <c r="AD34" s="126"/>
      <c r="AE34" s="126"/>
      <c r="AF34" s="112"/>
      <c r="AG34" s="344"/>
      <c r="AH34" s="344"/>
      <c r="AI34" s="112"/>
      <c r="AJ34" s="118"/>
      <c r="AK34" s="112"/>
      <c r="AL34" s="112"/>
      <c r="AM34" s="112"/>
      <c r="AN34" s="112"/>
      <c r="AO34" s="112"/>
      <c r="AP34" s="99"/>
      <c r="AQ34" s="99"/>
      <c r="AR34" s="99"/>
      <c r="AS34" s="99"/>
      <c r="AT34" s="107"/>
      <c r="AU34" s="107"/>
      <c r="AV34" s="99"/>
      <c r="AW34" s="99"/>
      <c r="AX34" s="95"/>
      <c r="AY34" s="99"/>
      <c r="AZ34" s="99"/>
      <c r="BA34" s="99"/>
      <c r="BB34" s="99"/>
      <c r="BC34" s="99"/>
      <c r="BD34" s="99"/>
      <c r="BE34" s="111"/>
      <c r="BH34" s="25"/>
    </row>
    <row r="35" spans="1:60" ht="13.8" customHeight="1" x14ac:dyDescent="0.3">
      <c r="A35" s="340"/>
      <c r="B35" s="385"/>
      <c r="C35" s="381"/>
      <c r="D35" s="386"/>
      <c r="E35" s="204"/>
      <c r="F35" s="381"/>
      <c r="G35" s="381"/>
      <c r="H35" s="381"/>
      <c r="I35" s="381"/>
      <c r="J35" s="381"/>
      <c r="K35" s="381"/>
      <c r="L35" s="205"/>
      <c r="M35" s="405"/>
      <c r="N35" s="406"/>
      <c r="O35" s="203"/>
      <c r="P35" s="381"/>
      <c r="Q35" s="381"/>
      <c r="R35" s="142"/>
      <c r="S35" s="117"/>
      <c r="T35" s="99"/>
      <c r="U35" s="112"/>
      <c r="V35" s="99"/>
      <c r="W35" s="118"/>
      <c r="X35" s="49">
        <v>1</v>
      </c>
      <c r="Y35" s="49">
        <v>1</v>
      </c>
      <c r="Z35" s="48"/>
      <c r="AA35" s="134"/>
      <c r="AB35" s="149"/>
      <c r="AC35" s="112"/>
      <c r="AD35" s="112"/>
      <c r="AE35" s="346"/>
      <c r="AF35" s="346"/>
      <c r="AG35" s="346"/>
      <c r="AH35" s="346"/>
      <c r="AI35" s="346"/>
      <c r="AJ35" s="118"/>
      <c r="AK35" s="112"/>
      <c r="AL35" s="112"/>
      <c r="AM35" s="112"/>
      <c r="AN35" s="112"/>
      <c r="AO35" s="112"/>
      <c r="AP35" s="99"/>
      <c r="AQ35" s="99"/>
      <c r="AR35" s="99"/>
      <c r="AS35" s="99"/>
      <c r="AT35" s="104">
        <v>7</v>
      </c>
      <c r="AU35" s="104">
        <v>7</v>
      </c>
      <c r="AV35" s="47">
        <v>7</v>
      </c>
      <c r="AW35" s="46"/>
      <c r="AX35" s="95"/>
      <c r="AY35" s="99"/>
      <c r="AZ35" s="99"/>
      <c r="BA35" s="99"/>
      <c r="BB35" s="328"/>
      <c r="BC35" s="328"/>
      <c r="BD35" s="138">
        <v>1</v>
      </c>
      <c r="BE35" s="111"/>
      <c r="BH35" s="25"/>
    </row>
    <row r="36" spans="1:60" ht="12.45" customHeight="1" x14ac:dyDescent="0.3">
      <c r="A36" s="340"/>
      <c r="B36" s="385"/>
      <c r="C36" s="381"/>
      <c r="D36" s="386"/>
      <c r="E36" s="204"/>
      <c r="F36" s="204"/>
      <c r="G36" s="204"/>
      <c r="H36" s="204"/>
      <c r="I36" s="204"/>
      <c r="J36" s="204"/>
      <c r="K36" s="204"/>
      <c r="L36" s="205"/>
      <c r="M36" s="405"/>
      <c r="N36" s="406"/>
      <c r="O36" s="203"/>
      <c r="P36" s="204"/>
      <c r="Q36" s="204"/>
      <c r="R36" s="142"/>
      <c r="S36" s="117"/>
      <c r="T36" s="45"/>
      <c r="U36" s="338"/>
      <c r="V36" s="338"/>
      <c r="W36" s="112"/>
      <c r="X36" s="52"/>
      <c r="Y36" s="52"/>
      <c r="Z36" s="99"/>
      <c r="AA36" s="112"/>
      <c r="AB36" s="118"/>
      <c r="AC36" s="112"/>
      <c r="AD36" s="148"/>
      <c r="AE36" s="338"/>
      <c r="AF36" s="338"/>
      <c r="AG36" s="338"/>
      <c r="AH36" s="338"/>
      <c r="AI36" s="338"/>
      <c r="AJ36" s="118"/>
      <c r="AK36" s="112"/>
      <c r="AL36" s="338"/>
      <c r="AM36" s="338"/>
      <c r="AN36" s="338"/>
      <c r="AO36" s="338"/>
      <c r="AP36" s="338"/>
      <c r="AQ36" s="338"/>
      <c r="AR36" s="338"/>
      <c r="AS36" s="99"/>
      <c r="AT36" s="99"/>
      <c r="AU36" s="99"/>
      <c r="AV36" s="99"/>
      <c r="AW36" s="99"/>
      <c r="AX36" s="95"/>
      <c r="AY36" s="99"/>
      <c r="AZ36" s="94"/>
      <c r="BA36" s="94"/>
      <c r="BB36" s="94"/>
      <c r="BC36" s="94"/>
      <c r="BE36" s="111"/>
      <c r="BH36" s="25"/>
    </row>
    <row r="37" spans="1:60" ht="3.6" customHeight="1" x14ac:dyDescent="0.3">
      <c r="A37" s="341"/>
      <c r="B37" s="387"/>
      <c r="C37" s="388"/>
      <c r="D37" s="389"/>
      <c r="E37" s="209"/>
      <c r="F37" s="209"/>
      <c r="G37" s="209"/>
      <c r="H37" s="209"/>
      <c r="I37" s="209"/>
      <c r="J37" s="209"/>
      <c r="K37" s="209"/>
      <c r="L37" s="210"/>
      <c r="M37" s="407"/>
      <c r="N37" s="408"/>
      <c r="O37" s="208"/>
      <c r="P37" s="209"/>
      <c r="Q37" s="209"/>
      <c r="R37" s="140"/>
      <c r="S37" s="122"/>
      <c r="T37" s="38"/>
      <c r="U37" s="121"/>
      <c r="V37" s="38"/>
      <c r="W37" s="121"/>
      <c r="X37" s="38"/>
      <c r="Y37" s="121"/>
      <c r="Z37" s="38"/>
      <c r="AA37" s="121"/>
      <c r="AB37" s="123"/>
      <c r="AC37" s="121"/>
      <c r="AD37" s="121"/>
      <c r="AE37" s="121"/>
      <c r="AF37" s="121"/>
      <c r="AG37" s="121"/>
      <c r="AH37" s="121"/>
      <c r="AI37" s="121"/>
      <c r="AJ37" s="121"/>
      <c r="AK37" s="122"/>
      <c r="AL37" s="121"/>
      <c r="AM37" s="121"/>
      <c r="AN37" s="121"/>
      <c r="AO37" s="121"/>
      <c r="AP37" s="38"/>
      <c r="AQ37" s="38"/>
      <c r="AR37" s="38"/>
      <c r="AS37" s="38"/>
      <c r="AT37" s="38"/>
      <c r="AU37" s="38"/>
      <c r="AV37" s="38"/>
      <c r="AW37" s="38"/>
      <c r="AX37" s="37"/>
      <c r="AY37" s="38"/>
      <c r="AZ37" s="38"/>
      <c r="BA37" s="38"/>
      <c r="BB37" s="38"/>
      <c r="BC37" s="38"/>
      <c r="BD37" s="38"/>
      <c r="BE37" s="147"/>
      <c r="BH37" s="25"/>
    </row>
    <row r="38" spans="1:60" ht="12.6" customHeight="1" x14ac:dyDescent="0.3">
      <c r="A38" s="339" t="s">
        <v>26</v>
      </c>
      <c r="B38" s="382"/>
      <c r="C38" s="383"/>
      <c r="D38" s="384"/>
      <c r="E38" s="199"/>
      <c r="F38" s="199"/>
      <c r="G38" s="199"/>
      <c r="H38" s="199"/>
      <c r="I38" s="199"/>
      <c r="J38" s="199"/>
      <c r="K38" s="199"/>
      <c r="L38" s="200"/>
      <c r="M38" s="409">
        <v>0.06</v>
      </c>
      <c r="N38" s="410"/>
      <c r="O38" s="198"/>
      <c r="P38" s="199"/>
      <c r="Q38" s="199"/>
      <c r="R38" s="145"/>
      <c r="S38" s="124"/>
      <c r="T38" s="41"/>
      <c r="U38" s="115"/>
      <c r="V38" s="41"/>
      <c r="W38" s="115"/>
      <c r="X38" s="41"/>
      <c r="Y38" s="115"/>
      <c r="Z38" s="41"/>
      <c r="AA38" s="115"/>
      <c r="AB38" s="125"/>
      <c r="AC38" s="115"/>
      <c r="AD38" s="115"/>
      <c r="AE38" s="115"/>
      <c r="AF38" s="115"/>
      <c r="AG38" s="115"/>
      <c r="AH38" s="115"/>
      <c r="AI38" s="115"/>
      <c r="AJ38" s="125"/>
      <c r="AK38" s="124"/>
      <c r="AL38" s="115"/>
      <c r="AM38" s="115"/>
      <c r="AN38" s="115"/>
      <c r="AO38" s="115"/>
      <c r="AP38" s="41"/>
      <c r="AQ38" s="41"/>
      <c r="AR38" s="41"/>
      <c r="AS38" s="41"/>
      <c r="AT38" s="41"/>
      <c r="AU38" s="41"/>
      <c r="AV38" s="41"/>
      <c r="AW38" s="41"/>
      <c r="AX38" s="40"/>
      <c r="AY38" s="99"/>
      <c r="AZ38" s="99"/>
      <c r="BA38" s="99"/>
      <c r="BB38" s="99"/>
      <c r="BC38" s="99"/>
      <c r="BD38" s="99"/>
      <c r="BE38" s="111"/>
      <c r="BH38" s="25"/>
    </row>
    <row r="39" spans="1:60" ht="12.6" customHeight="1" x14ac:dyDescent="0.3">
      <c r="A39" s="340"/>
      <c r="B39" s="385"/>
      <c r="C39" s="381"/>
      <c r="D39" s="386"/>
      <c r="E39" s="204"/>
      <c r="F39" s="204"/>
      <c r="G39" s="204"/>
      <c r="H39" s="204"/>
      <c r="I39" s="204"/>
      <c r="J39" s="204"/>
      <c r="K39" s="204"/>
      <c r="L39" s="205"/>
      <c r="M39" s="411"/>
      <c r="N39" s="412"/>
      <c r="O39" s="203"/>
      <c r="P39" s="204"/>
      <c r="Q39" s="204"/>
      <c r="R39" s="142"/>
      <c r="S39" s="117"/>
      <c r="T39" s="99"/>
      <c r="U39" s="112"/>
      <c r="V39" s="99"/>
      <c r="W39" s="112"/>
      <c r="X39" s="99"/>
      <c r="Y39" s="112"/>
      <c r="Z39" s="99"/>
      <c r="AA39" s="112"/>
      <c r="AB39" s="118"/>
      <c r="AC39" s="112"/>
      <c r="AD39" s="112"/>
      <c r="AE39" s="112"/>
      <c r="AF39" s="112"/>
      <c r="AG39" s="112"/>
      <c r="AH39" s="112"/>
      <c r="AI39" s="112"/>
      <c r="AJ39" s="118"/>
      <c r="AK39" s="117"/>
      <c r="AL39" s="112"/>
      <c r="AM39" s="112"/>
      <c r="AN39" s="112"/>
      <c r="AO39" s="112"/>
      <c r="AP39" s="99"/>
      <c r="AQ39" s="99"/>
      <c r="AR39" s="99"/>
      <c r="AS39" s="99"/>
      <c r="AT39" s="104">
        <v>7</v>
      </c>
      <c r="AU39" s="104">
        <v>7</v>
      </c>
      <c r="AV39" s="106">
        <v>7</v>
      </c>
      <c r="AW39" s="139"/>
      <c r="AX39" s="95"/>
      <c r="AY39" s="99"/>
      <c r="AZ39" s="99"/>
      <c r="BA39" s="99"/>
      <c r="BB39" s="99"/>
      <c r="BC39" s="99"/>
      <c r="BD39" s="99"/>
      <c r="BE39" s="111"/>
      <c r="BH39" s="25"/>
    </row>
    <row r="40" spans="1:60" ht="18.45" customHeight="1" x14ac:dyDescent="0.3">
      <c r="A40" s="340"/>
      <c r="B40" s="385"/>
      <c r="C40" s="381"/>
      <c r="D40" s="386"/>
      <c r="E40" s="204"/>
      <c r="F40" s="381"/>
      <c r="G40" s="381"/>
      <c r="H40" s="381"/>
      <c r="I40" s="381"/>
      <c r="J40" s="381"/>
      <c r="K40" s="381"/>
      <c r="L40" s="205"/>
      <c r="M40" s="411"/>
      <c r="N40" s="412"/>
      <c r="O40" s="203"/>
      <c r="P40" s="381"/>
      <c r="Q40" s="381"/>
      <c r="R40" s="142"/>
      <c r="S40" s="117"/>
      <c r="T40" s="99"/>
      <c r="U40" s="112"/>
      <c r="V40" s="99"/>
      <c r="W40" s="112"/>
      <c r="X40" s="99"/>
      <c r="Y40" s="112"/>
      <c r="Z40" s="99"/>
      <c r="AA40" s="112"/>
      <c r="AB40" s="118"/>
      <c r="AC40" s="112"/>
      <c r="AD40" s="112"/>
      <c r="AE40" s="112"/>
      <c r="AF40" s="112"/>
      <c r="AG40" s="112"/>
      <c r="AH40" s="112"/>
      <c r="AI40" s="112"/>
      <c r="AJ40" s="118"/>
      <c r="AK40" s="117"/>
      <c r="AL40" s="112"/>
      <c r="AM40" s="112"/>
      <c r="AN40" s="112"/>
      <c r="AO40" s="112"/>
      <c r="AP40" s="99"/>
      <c r="AQ40" s="99"/>
      <c r="AR40" s="99"/>
      <c r="AS40" s="99"/>
      <c r="AT40" s="25"/>
      <c r="AU40" s="25"/>
      <c r="AV40" s="25"/>
      <c r="AW40" s="25"/>
      <c r="AX40" s="95"/>
      <c r="AY40" s="99"/>
      <c r="AZ40" s="99"/>
      <c r="BA40" s="99"/>
      <c r="BB40" s="99"/>
      <c r="BC40" s="99"/>
      <c r="BD40" s="99"/>
      <c r="BE40" s="111"/>
      <c r="BH40" s="25"/>
    </row>
    <row r="41" spans="1:60" ht="15.6" customHeight="1" x14ac:dyDescent="0.3">
      <c r="A41" s="340"/>
      <c r="B41" s="385"/>
      <c r="C41" s="381"/>
      <c r="D41" s="386"/>
      <c r="E41" s="204"/>
      <c r="F41" s="381"/>
      <c r="G41" s="381"/>
      <c r="H41" s="381"/>
      <c r="I41" s="381"/>
      <c r="J41" s="381"/>
      <c r="K41" s="381"/>
      <c r="L41" s="205"/>
      <c r="M41" s="411"/>
      <c r="N41" s="412"/>
      <c r="O41" s="203"/>
      <c r="P41" s="381"/>
      <c r="Q41" s="381"/>
      <c r="R41" s="142"/>
      <c r="S41" s="117"/>
      <c r="T41" s="99"/>
      <c r="U41" s="112"/>
      <c r="V41" s="99"/>
      <c r="W41" s="112"/>
      <c r="X41" s="51"/>
      <c r="Y41" s="51"/>
      <c r="Z41" s="48"/>
      <c r="AA41" s="134"/>
      <c r="AB41" s="118"/>
      <c r="AC41" s="112"/>
      <c r="AD41" s="335"/>
      <c r="AE41" s="335"/>
      <c r="AF41" s="335"/>
      <c r="AG41" s="335"/>
      <c r="AH41" s="335"/>
      <c r="AI41" s="112"/>
      <c r="AJ41" s="118"/>
      <c r="AK41" s="117"/>
      <c r="AL41" s="112"/>
      <c r="AM41" s="112"/>
      <c r="AN41" s="112"/>
      <c r="AO41" s="112"/>
      <c r="AP41" s="99"/>
      <c r="AQ41" s="99"/>
      <c r="AR41" s="99"/>
      <c r="AS41" s="99"/>
      <c r="AT41" s="104">
        <v>7</v>
      </c>
      <c r="AU41" s="104">
        <v>7</v>
      </c>
      <c r="AV41" s="106">
        <v>7</v>
      </c>
      <c r="AW41" s="139"/>
      <c r="AX41" s="95"/>
      <c r="AY41" s="99"/>
      <c r="AZ41" s="99"/>
      <c r="BA41" s="99"/>
      <c r="BB41" s="99"/>
      <c r="BC41" s="99"/>
      <c r="BD41" s="99"/>
      <c r="BE41" s="111"/>
      <c r="BH41" s="25"/>
    </row>
    <row r="42" spans="1:60" ht="13.8" customHeight="1" x14ac:dyDescent="0.3">
      <c r="A42" s="340"/>
      <c r="B42" s="385"/>
      <c r="C42" s="381"/>
      <c r="D42" s="386"/>
      <c r="E42" s="204"/>
      <c r="F42" s="381"/>
      <c r="G42" s="381"/>
      <c r="H42" s="381"/>
      <c r="I42" s="381"/>
      <c r="J42" s="381"/>
      <c r="K42" s="381"/>
      <c r="L42" s="205"/>
      <c r="M42" s="411"/>
      <c r="N42" s="412"/>
      <c r="O42" s="203"/>
      <c r="P42" s="381"/>
      <c r="Q42" s="381"/>
      <c r="R42" s="142"/>
      <c r="S42" s="117"/>
      <c r="T42" s="99"/>
      <c r="U42" s="112"/>
      <c r="V42" s="99"/>
      <c r="W42" s="112"/>
      <c r="X42" s="99"/>
      <c r="Y42" s="112"/>
      <c r="Z42" s="99"/>
      <c r="AA42" s="112"/>
      <c r="AB42" s="118"/>
      <c r="AC42" s="112"/>
      <c r="AD42" s="112"/>
      <c r="AE42" s="346"/>
      <c r="AF42" s="346"/>
      <c r="AG42" s="346"/>
      <c r="AH42" s="346"/>
      <c r="AI42" s="346"/>
      <c r="AJ42" s="118"/>
      <c r="AK42" s="117"/>
      <c r="AL42" s="112"/>
      <c r="AM42" s="112"/>
      <c r="AN42" s="112"/>
      <c r="AO42" s="112"/>
      <c r="AP42" s="99"/>
      <c r="AQ42" s="99"/>
      <c r="AR42" s="99"/>
      <c r="AS42" s="99"/>
      <c r="AT42" s="25"/>
      <c r="AU42" s="25"/>
      <c r="AV42" s="25"/>
      <c r="AW42" s="25"/>
      <c r="AX42" s="95"/>
      <c r="AY42" s="99"/>
      <c r="AZ42" s="99"/>
      <c r="BA42" s="99"/>
      <c r="BB42" s="99"/>
      <c r="BC42" s="99"/>
      <c r="BD42" s="99"/>
      <c r="BE42" s="111"/>
      <c r="BH42" s="25"/>
    </row>
    <row r="43" spans="1:60" ht="13.2" customHeight="1" x14ac:dyDescent="0.3">
      <c r="A43" s="341"/>
      <c r="B43" s="387"/>
      <c r="C43" s="388"/>
      <c r="D43" s="389"/>
      <c r="E43" s="209"/>
      <c r="F43" s="209"/>
      <c r="G43" s="209"/>
      <c r="H43" s="209"/>
      <c r="I43" s="209"/>
      <c r="J43" s="209"/>
      <c r="K43" s="209"/>
      <c r="L43" s="210"/>
      <c r="M43" s="413"/>
      <c r="N43" s="414"/>
      <c r="O43" s="208"/>
      <c r="P43" s="209"/>
      <c r="Q43" s="209"/>
      <c r="R43" s="140"/>
      <c r="S43" s="117"/>
      <c r="T43" s="99"/>
      <c r="U43" s="112"/>
      <c r="V43" s="99"/>
      <c r="W43" s="112"/>
      <c r="X43" s="49">
        <v>1</v>
      </c>
      <c r="Y43" s="49">
        <v>0</v>
      </c>
      <c r="Z43" s="48"/>
      <c r="AA43" s="134"/>
      <c r="AB43" s="118"/>
      <c r="AC43" s="112"/>
      <c r="AD43" s="126"/>
      <c r="AE43" s="335"/>
      <c r="AF43" s="335"/>
      <c r="AG43" s="335"/>
      <c r="AH43" s="335"/>
      <c r="AI43" s="335"/>
      <c r="AJ43" s="118"/>
      <c r="AK43" s="117"/>
      <c r="AL43" s="112"/>
      <c r="AM43" s="112"/>
      <c r="AN43" s="112"/>
      <c r="AO43" s="112"/>
      <c r="AP43" s="99"/>
      <c r="AQ43" s="99"/>
      <c r="AR43" s="99"/>
      <c r="AS43" s="99"/>
      <c r="AT43" s="104">
        <v>7</v>
      </c>
      <c r="AU43" s="104">
        <v>7</v>
      </c>
      <c r="AV43" s="106">
        <v>7</v>
      </c>
      <c r="AW43" s="139"/>
      <c r="AX43" s="95"/>
      <c r="AY43" s="99"/>
      <c r="AZ43" s="99"/>
      <c r="BA43" s="99"/>
      <c r="BB43" s="328"/>
      <c r="BC43" s="328"/>
      <c r="BD43" s="138">
        <v>2</v>
      </c>
      <c r="BE43" s="111"/>
      <c r="BH43" s="25"/>
    </row>
    <row r="44" spans="1:60" ht="15.6" customHeight="1" x14ac:dyDescent="0.3">
      <c r="A44" s="137"/>
      <c r="B44" s="136"/>
      <c r="C44" s="136"/>
      <c r="D44" s="136"/>
      <c r="E44" s="366" t="s">
        <v>56</v>
      </c>
      <c r="F44" s="366"/>
      <c r="G44" s="366"/>
      <c r="H44" s="366"/>
      <c r="I44" s="366"/>
      <c r="J44" s="366"/>
      <c r="K44" s="366"/>
      <c r="L44" s="366"/>
      <c r="M44" s="366"/>
      <c r="N44" s="366"/>
      <c r="O44" s="382"/>
      <c r="P44" s="383"/>
      <c r="Q44" s="383"/>
      <c r="R44" s="384"/>
      <c r="S44" s="112"/>
      <c r="T44" s="99"/>
      <c r="U44" s="112"/>
      <c r="V44" s="99"/>
      <c r="W44" s="112"/>
      <c r="X44" s="44"/>
      <c r="Y44" s="44"/>
      <c r="Z44" s="99"/>
      <c r="AA44" s="112"/>
      <c r="AB44" s="118"/>
      <c r="AC44" s="112"/>
      <c r="AD44" s="135"/>
      <c r="AE44" s="367"/>
      <c r="AF44" s="367"/>
      <c r="AG44" s="367"/>
      <c r="AH44" s="367"/>
      <c r="AI44" s="367"/>
      <c r="AJ44" s="118"/>
      <c r="AK44" s="117"/>
      <c r="AL44" s="338"/>
      <c r="AM44" s="338"/>
      <c r="AN44" s="338"/>
      <c r="AO44" s="338"/>
      <c r="AP44" s="338"/>
      <c r="AQ44" s="338"/>
      <c r="AR44" s="338"/>
      <c r="AS44" s="99"/>
      <c r="AT44" s="107"/>
      <c r="AU44" s="107"/>
      <c r="AV44" s="107"/>
      <c r="AW44" s="107"/>
      <c r="AX44" s="95"/>
      <c r="AY44" s="99"/>
      <c r="AZ44" s="99"/>
      <c r="BA44" s="99"/>
      <c r="BB44" s="99"/>
      <c r="BC44" s="99"/>
      <c r="BD44" s="99"/>
      <c r="BE44" s="111"/>
      <c r="BH44" s="25"/>
    </row>
    <row r="45" spans="1:60" ht="4.2" customHeight="1" x14ac:dyDescent="0.3">
      <c r="A45" s="50"/>
      <c r="B45" s="99"/>
      <c r="C45" s="99"/>
      <c r="D45" s="99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385"/>
      <c r="P45" s="381"/>
      <c r="Q45" s="381"/>
      <c r="R45" s="386"/>
      <c r="S45" s="112"/>
      <c r="T45" s="99"/>
      <c r="U45" s="112"/>
      <c r="V45" s="99"/>
      <c r="W45" s="112"/>
      <c r="AB45" s="118"/>
      <c r="AC45" s="121"/>
      <c r="AD45" s="121"/>
      <c r="AE45" s="121"/>
      <c r="AF45" s="121"/>
      <c r="AG45" s="121"/>
      <c r="AH45" s="121"/>
      <c r="AI45" s="121"/>
      <c r="AJ45" s="123"/>
      <c r="AK45" s="117"/>
      <c r="AL45" s="112"/>
      <c r="AM45" s="112"/>
      <c r="AN45" s="112"/>
      <c r="AO45" s="112"/>
      <c r="AP45" s="99"/>
      <c r="AQ45" s="99"/>
      <c r="AR45" s="99"/>
      <c r="AS45" s="99"/>
      <c r="AT45" s="25"/>
      <c r="AU45" s="25"/>
      <c r="AV45" s="25"/>
      <c r="AW45" s="25"/>
      <c r="AX45" s="37"/>
      <c r="AY45" s="39"/>
      <c r="AZ45" s="38"/>
      <c r="BA45" s="38"/>
      <c r="BB45" s="38"/>
      <c r="BC45" s="38"/>
      <c r="BD45" s="38"/>
      <c r="BE45" s="111"/>
      <c r="BH45" s="25"/>
    </row>
    <row r="46" spans="1:60" ht="15.6" customHeight="1" x14ac:dyDescent="0.3">
      <c r="A46" s="99"/>
      <c r="B46" s="99"/>
      <c r="C46" s="99"/>
      <c r="D46" s="99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387"/>
      <c r="P46" s="388"/>
      <c r="Q46" s="388"/>
      <c r="R46" s="389"/>
      <c r="S46" s="112"/>
      <c r="T46" s="99"/>
      <c r="U46" s="112"/>
      <c r="V46" s="99"/>
      <c r="W46" s="112"/>
      <c r="X46" s="49">
        <v>1</v>
      </c>
      <c r="Y46" s="49">
        <v>1</v>
      </c>
      <c r="Z46" s="48"/>
      <c r="AA46" s="134"/>
      <c r="AB46" s="118"/>
      <c r="AC46" s="112"/>
      <c r="AD46" s="335"/>
      <c r="AE46" s="335"/>
      <c r="AF46" s="335"/>
      <c r="AG46" s="335"/>
      <c r="AH46" s="335"/>
      <c r="AI46" s="112"/>
      <c r="AJ46" s="118"/>
      <c r="AK46" s="124"/>
      <c r="AL46" s="115"/>
      <c r="AM46" s="115"/>
      <c r="AN46" s="115"/>
      <c r="AO46" s="115"/>
      <c r="AP46" s="41"/>
      <c r="AQ46" s="41"/>
      <c r="AR46" s="41"/>
      <c r="AS46" s="41"/>
      <c r="AT46" s="116"/>
      <c r="AU46" s="116"/>
      <c r="AV46" s="116"/>
      <c r="AW46" s="116"/>
      <c r="AX46" s="95"/>
      <c r="AY46" s="99"/>
      <c r="AZ46" s="99"/>
      <c r="BA46" s="99"/>
      <c r="BD46" s="99"/>
      <c r="BE46" s="111"/>
      <c r="BH46" s="25"/>
    </row>
    <row r="47" spans="1:60" ht="18" customHeight="1" x14ac:dyDescent="0.4">
      <c r="A47" s="99"/>
      <c r="B47" s="99"/>
      <c r="C47" s="99"/>
      <c r="D47" s="99"/>
      <c r="E47" s="380" t="s">
        <v>57</v>
      </c>
      <c r="F47" s="380"/>
      <c r="G47" s="380"/>
      <c r="H47" s="380"/>
      <c r="I47" s="380"/>
      <c r="J47" s="380"/>
      <c r="K47" s="380"/>
      <c r="L47" s="380"/>
      <c r="M47" s="99"/>
      <c r="N47" s="99"/>
      <c r="O47" s="215"/>
      <c r="P47" s="192"/>
      <c r="Q47" s="199"/>
      <c r="R47" s="216"/>
      <c r="S47" s="112"/>
      <c r="T47" s="45"/>
      <c r="U47" s="338"/>
      <c r="V47" s="338"/>
      <c r="W47" s="112"/>
      <c r="X47" s="44"/>
      <c r="Y47" s="44"/>
      <c r="Z47" s="99"/>
      <c r="AA47" s="112"/>
      <c r="AB47" s="118"/>
      <c r="AC47" s="112"/>
      <c r="AD47" s="112"/>
      <c r="AE47" s="112"/>
      <c r="AF47" s="112"/>
      <c r="AG47" s="337"/>
      <c r="AH47" s="337"/>
      <c r="AI47" s="112"/>
      <c r="AJ47" s="112"/>
      <c r="AK47" s="117"/>
      <c r="AL47" s="346"/>
      <c r="AM47" s="346"/>
      <c r="AN47" s="346"/>
      <c r="AO47" s="346"/>
      <c r="AP47" s="346"/>
      <c r="AQ47" s="346"/>
      <c r="AR47" s="346"/>
      <c r="AS47" s="99"/>
      <c r="AT47" s="99"/>
      <c r="AU47" s="99"/>
      <c r="AV47" s="99"/>
      <c r="AW47" s="99"/>
      <c r="AX47" s="95"/>
      <c r="AY47" s="99"/>
      <c r="AZ47" s="94"/>
      <c r="BA47" s="94"/>
      <c r="BB47" s="94"/>
      <c r="BC47" s="94"/>
      <c r="BE47" s="111"/>
      <c r="BH47" s="25"/>
    </row>
    <row r="48" spans="1:60" ht="6" customHeight="1" x14ac:dyDescent="0.3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217"/>
      <c r="P48" s="218"/>
      <c r="Q48" s="209"/>
      <c r="R48" s="219"/>
      <c r="S48" s="112"/>
      <c r="T48" s="99"/>
      <c r="U48" s="112"/>
      <c r="V48" s="99"/>
      <c r="W48" s="112"/>
      <c r="X48" s="99"/>
      <c r="Y48" s="112"/>
      <c r="Z48" s="99"/>
      <c r="AA48" s="112"/>
      <c r="AB48" s="118"/>
      <c r="AC48" s="112"/>
      <c r="AD48" s="126"/>
      <c r="AE48" s="126"/>
      <c r="AF48" s="112"/>
      <c r="AG48" s="344"/>
      <c r="AH48" s="344"/>
      <c r="AI48" s="112"/>
      <c r="AJ48" s="118"/>
      <c r="AK48" s="117"/>
      <c r="AL48" s="112"/>
      <c r="AM48" s="112"/>
      <c r="AN48" s="112"/>
      <c r="AO48" s="112"/>
      <c r="AP48" s="99"/>
      <c r="AQ48" s="99"/>
      <c r="AR48" s="99"/>
      <c r="AS48" s="99"/>
      <c r="AT48" s="99"/>
      <c r="AU48" s="99"/>
      <c r="AV48" s="99"/>
      <c r="AW48" s="99"/>
      <c r="AX48" s="95"/>
      <c r="AY48" s="99"/>
      <c r="AZ48" s="99"/>
      <c r="BA48" s="99"/>
      <c r="BB48" s="99"/>
      <c r="BC48" s="99"/>
      <c r="BD48" s="99"/>
      <c r="BE48" s="111"/>
      <c r="BH48" s="25"/>
    </row>
    <row r="49" spans="1:60" ht="13.95" customHeight="1" x14ac:dyDescent="0.3">
      <c r="A49" s="427" t="s">
        <v>58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390"/>
      <c r="P49" s="391"/>
      <c r="Q49" s="391"/>
      <c r="R49" s="392"/>
      <c r="S49" s="115"/>
      <c r="T49" s="41"/>
      <c r="U49" s="115"/>
      <c r="V49" s="40"/>
      <c r="W49" s="112"/>
      <c r="X49" s="44"/>
      <c r="Y49" s="44"/>
      <c r="Z49" s="99"/>
      <c r="AA49" s="112"/>
      <c r="AB49" s="118"/>
      <c r="AC49" s="115"/>
      <c r="AD49" s="115"/>
      <c r="AE49" s="115"/>
      <c r="AF49" s="115"/>
      <c r="AG49" s="115"/>
      <c r="AH49" s="115"/>
      <c r="AI49" s="115"/>
      <c r="AJ49" s="125"/>
      <c r="AK49" s="124"/>
      <c r="AL49" s="115"/>
      <c r="AM49" s="115"/>
      <c r="AN49" s="115"/>
      <c r="AO49" s="115"/>
      <c r="AP49" s="40"/>
      <c r="AQ49" s="99"/>
      <c r="AR49" s="99"/>
      <c r="AS49" s="99"/>
      <c r="AT49" s="99"/>
      <c r="AU49" s="99"/>
      <c r="AV49" s="99"/>
      <c r="AW49" s="99"/>
      <c r="AX49" s="95"/>
      <c r="AY49" s="99"/>
      <c r="AZ49" s="99"/>
      <c r="BA49" s="99"/>
      <c r="BB49" s="99"/>
      <c r="BC49" s="99"/>
      <c r="BD49" s="99"/>
      <c r="BE49" s="111"/>
      <c r="BH49" s="25"/>
    </row>
    <row r="50" spans="1:60" ht="4.05" customHeight="1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393"/>
      <c r="P50" s="394"/>
      <c r="Q50" s="394"/>
      <c r="R50" s="395"/>
      <c r="S50" s="112"/>
      <c r="T50" s="99"/>
      <c r="U50" s="112"/>
      <c r="V50" s="95"/>
      <c r="W50" s="112"/>
      <c r="X50" s="99"/>
      <c r="Y50" s="112"/>
      <c r="Z50" s="99"/>
      <c r="AA50" s="112"/>
      <c r="AB50" s="118"/>
      <c r="AC50" s="112"/>
      <c r="AD50" s="112"/>
      <c r="AE50" s="112"/>
      <c r="AF50" s="112"/>
      <c r="AG50" s="112"/>
      <c r="AH50" s="112"/>
      <c r="AI50" s="112"/>
      <c r="AJ50" s="118"/>
      <c r="AK50" s="117"/>
      <c r="AL50" s="112"/>
      <c r="AM50" s="112"/>
      <c r="AN50" s="112"/>
      <c r="AO50" s="112"/>
      <c r="AP50" s="95"/>
      <c r="AQ50" s="99"/>
      <c r="AR50" s="99"/>
      <c r="AS50" s="99"/>
      <c r="AT50" s="99"/>
      <c r="AU50" s="99"/>
      <c r="AV50" s="99"/>
      <c r="AW50" s="99"/>
      <c r="AX50" s="95"/>
      <c r="AY50" s="99"/>
      <c r="AZ50" s="99"/>
      <c r="BA50" s="99"/>
      <c r="BB50" s="99"/>
      <c r="BC50" s="99"/>
      <c r="BD50" s="99"/>
      <c r="BE50" s="111"/>
      <c r="BH50" s="25"/>
    </row>
    <row r="51" spans="1:60" ht="13.8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396"/>
      <c r="P51" s="397"/>
      <c r="Q51" s="397"/>
      <c r="R51" s="398"/>
      <c r="S51" s="121"/>
      <c r="T51" s="38"/>
      <c r="U51" s="121"/>
      <c r="V51" s="37"/>
      <c r="W51" s="112"/>
      <c r="X51" s="43"/>
      <c r="Y51" s="43"/>
      <c r="Z51" s="99"/>
      <c r="AA51" s="112"/>
      <c r="AB51" s="118"/>
      <c r="AC51" s="121"/>
      <c r="AD51" s="121"/>
      <c r="AE51" s="121"/>
      <c r="AF51" s="121"/>
      <c r="AG51" s="121"/>
      <c r="AH51" s="121"/>
      <c r="AI51" s="121"/>
      <c r="AJ51" s="123"/>
      <c r="AK51" s="122"/>
      <c r="AL51" s="121"/>
      <c r="AM51" s="121"/>
      <c r="AN51" s="121"/>
      <c r="AO51" s="121"/>
      <c r="AP51" s="37"/>
      <c r="AQ51" s="47"/>
      <c r="AR51" s="99"/>
      <c r="AS51" s="99"/>
      <c r="AT51" s="99"/>
      <c r="AU51" s="99"/>
      <c r="AV51" s="99"/>
      <c r="AW51" s="99"/>
      <c r="AX51" s="95"/>
      <c r="AY51" s="99"/>
      <c r="AZ51" s="112" t="s">
        <v>60</v>
      </c>
      <c r="BA51" s="346" t="s">
        <v>115</v>
      </c>
      <c r="BB51" s="346"/>
      <c r="BC51" s="346"/>
      <c r="BD51" s="346"/>
      <c r="BE51" s="111"/>
    </row>
    <row r="52" spans="1:60" ht="1.95" customHeight="1" x14ac:dyDescent="0.3">
      <c r="A52" s="99"/>
      <c r="B52" s="99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5"/>
      <c r="O52" s="56"/>
      <c r="P52" s="58"/>
      <c r="Q52" s="119"/>
      <c r="R52" s="120"/>
      <c r="S52" s="119"/>
      <c r="T52" s="58"/>
      <c r="U52" s="119"/>
      <c r="V52" s="57"/>
      <c r="W52" s="117"/>
      <c r="X52" s="99"/>
      <c r="Y52" s="112"/>
      <c r="Z52" s="99"/>
      <c r="AA52" s="112"/>
      <c r="AB52" s="118"/>
      <c r="AC52" s="112"/>
      <c r="AD52" s="112"/>
      <c r="AE52" s="112"/>
      <c r="AF52" s="112"/>
      <c r="AG52" s="112"/>
      <c r="AH52" s="112"/>
      <c r="AI52" s="112"/>
      <c r="AJ52" s="118"/>
      <c r="AK52" s="117"/>
      <c r="AL52" s="112"/>
      <c r="AM52" s="112"/>
      <c r="AN52" s="112"/>
      <c r="AO52" s="115"/>
      <c r="AP52" s="41"/>
      <c r="AQ52" s="47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112"/>
    </row>
    <row r="53" spans="1:60" ht="15" customHeight="1" x14ac:dyDescent="0.3">
      <c r="A53" s="112" t="s">
        <v>118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99"/>
      <c r="N53" s="99"/>
      <c r="O53" s="112" t="s">
        <v>117</v>
      </c>
      <c r="P53" s="99"/>
      <c r="Q53" s="112"/>
      <c r="R53" s="112"/>
      <c r="S53" s="113"/>
      <c r="T53" s="99"/>
      <c r="U53" s="112"/>
      <c r="V53" s="99"/>
      <c r="W53" s="112"/>
      <c r="X53" s="99"/>
      <c r="Y53" s="112"/>
      <c r="Z53" s="99"/>
      <c r="AA53" s="112"/>
      <c r="AB53" s="112"/>
      <c r="AC53" s="115"/>
      <c r="AD53" s="115"/>
      <c r="AE53" s="116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41"/>
      <c r="AQ53" s="99"/>
      <c r="AR53" s="99"/>
      <c r="AS53" s="99"/>
      <c r="AT53" s="99"/>
      <c r="AU53" s="99"/>
      <c r="AV53" s="99"/>
      <c r="AW53" s="99"/>
      <c r="AX53" s="99"/>
      <c r="AY53" s="99"/>
      <c r="AZ53" s="112" t="s">
        <v>61</v>
      </c>
      <c r="BA53" s="346" t="s">
        <v>115</v>
      </c>
      <c r="BB53" s="346"/>
      <c r="BC53" s="346"/>
      <c r="BD53" s="346"/>
      <c r="BE53" s="111"/>
    </row>
    <row r="54" spans="1:60" ht="20.55" customHeight="1" x14ac:dyDescent="0.3">
      <c r="A54" s="376" t="s">
        <v>116</v>
      </c>
      <c r="B54" s="376"/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R54" s="112"/>
      <c r="S54" s="113"/>
      <c r="T54" s="99"/>
      <c r="U54" s="112"/>
      <c r="V54" s="112"/>
      <c r="W54" s="112"/>
      <c r="X54" s="99"/>
      <c r="Y54" s="112"/>
      <c r="Z54" s="99"/>
      <c r="AA54" s="112"/>
      <c r="AB54" s="112"/>
      <c r="AC54" s="112"/>
      <c r="AD54" s="112"/>
      <c r="AE54" s="112" t="s">
        <v>59</v>
      </c>
      <c r="AF54" s="112"/>
      <c r="AG54" s="112"/>
      <c r="AH54" s="112"/>
      <c r="AI54" s="112"/>
      <c r="AJ54" s="112"/>
      <c r="AL54" s="377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9"/>
      <c r="AX54" s="99"/>
      <c r="AY54" s="99"/>
      <c r="AZ54" s="112" t="s">
        <v>62</v>
      </c>
      <c r="BA54" s="346" t="s">
        <v>115</v>
      </c>
      <c r="BB54" s="346"/>
      <c r="BC54" s="346"/>
      <c r="BD54" s="346"/>
      <c r="BE54" s="111"/>
    </row>
    <row r="55" spans="1:60" ht="19.05" customHeight="1" x14ac:dyDescent="0.3">
      <c r="A55" s="23" t="s">
        <v>114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105"/>
      <c r="P55" s="105"/>
      <c r="Q55" s="112"/>
      <c r="R55" s="112"/>
      <c r="S55" s="113"/>
      <c r="T55" s="99"/>
      <c r="U55" s="112"/>
      <c r="V55" s="112"/>
      <c r="W55" s="112"/>
      <c r="X55" s="99"/>
      <c r="Y55" s="112"/>
      <c r="Z55" s="99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BB55" s="99"/>
      <c r="BC55" s="99"/>
      <c r="BD55" s="99"/>
      <c r="BE55" s="111"/>
    </row>
    <row r="56" spans="1:60" ht="17.55" customHeight="1" x14ac:dyDescent="0.3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3"/>
      <c r="T56" s="99"/>
      <c r="U56" s="112"/>
      <c r="V56" s="99"/>
      <c r="W56" s="112"/>
      <c r="X56" s="99"/>
      <c r="Y56" s="112"/>
      <c r="Z56" s="99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BA56" s="27" t="s">
        <v>113</v>
      </c>
      <c r="BB56" s="99"/>
      <c r="BC56" s="99"/>
      <c r="BD56" s="99"/>
      <c r="BE56" s="111"/>
    </row>
    <row r="57" spans="1:60" s="32" customFormat="1" ht="4.5" hidden="1" customHeight="1" x14ac:dyDescent="0.25">
      <c r="A57" s="34"/>
      <c r="B57" s="34"/>
      <c r="C57" s="109"/>
      <c r="D57" s="110"/>
      <c r="E57" s="34"/>
      <c r="F57" s="34"/>
      <c r="G57" s="34"/>
      <c r="H57" s="109"/>
      <c r="I57" s="109"/>
      <c r="J57" s="109"/>
      <c r="K57" s="109"/>
      <c r="L57" s="110"/>
      <c r="M57" s="110"/>
      <c r="N57" s="34"/>
      <c r="O57" s="34"/>
      <c r="P57" s="34"/>
      <c r="Q57" s="109"/>
      <c r="R57" s="109"/>
      <c r="S57" s="110"/>
      <c r="T57" s="34"/>
      <c r="U57" s="109"/>
      <c r="V57" s="34"/>
      <c r="W57" s="109"/>
      <c r="X57" s="34"/>
      <c r="Y57" s="109"/>
      <c r="Z57" s="34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108"/>
      <c r="BH57" s="33"/>
    </row>
    <row r="58" spans="1:60" ht="25.05" customHeight="1" x14ac:dyDescent="0.3"/>
    <row r="59" spans="1:60" ht="25.05" customHeight="1" x14ac:dyDescent="0.3"/>
  </sheetData>
  <dataConsolidate/>
  <mergeCells count="108">
    <mergeCell ref="AE42:AI42"/>
    <mergeCell ref="E47:L47"/>
    <mergeCell ref="F35:G35"/>
    <mergeCell ref="E44:N46"/>
    <mergeCell ref="E20:L21"/>
    <mergeCell ref="H27:K27"/>
    <mergeCell ref="AL54:AW54"/>
    <mergeCell ref="AC20:AX20"/>
    <mergeCell ref="A54:O54"/>
    <mergeCell ref="AL28:AM28"/>
    <mergeCell ref="AN28:AR28"/>
    <mergeCell ref="B22:D29"/>
    <mergeCell ref="B30:D37"/>
    <mergeCell ref="B38:D43"/>
    <mergeCell ref="AN44:AR44"/>
    <mergeCell ref="P42:Q42"/>
    <mergeCell ref="A30:A37"/>
    <mergeCell ref="B20:D21"/>
    <mergeCell ref="F27:G27"/>
    <mergeCell ref="O20:R21"/>
    <mergeCell ref="M20:N21"/>
    <mergeCell ref="P27:Q27"/>
    <mergeCell ref="BA51:BD51"/>
    <mergeCell ref="BA53:BD53"/>
    <mergeCell ref="BA54:BD54"/>
    <mergeCell ref="BB27:BC27"/>
    <mergeCell ref="BB35:BC35"/>
    <mergeCell ref="BB43:BC43"/>
    <mergeCell ref="AL44:AM44"/>
    <mergeCell ref="U28:V28"/>
    <mergeCell ref="M30:N37"/>
    <mergeCell ref="M38:N43"/>
    <mergeCell ref="M22:N28"/>
    <mergeCell ref="C52:N52"/>
    <mergeCell ref="AG34:AH34"/>
    <mergeCell ref="AD46:AH46"/>
    <mergeCell ref="AG47:AH47"/>
    <mergeCell ref="H35:K35"/>
    <mergeCell ref="AE43:AI43"/>
    <mergeCell ref="AE44:AI44"/>
    <mergeCell ref="AN47:AR47"/>
    <mergeCell ref="AL47:AM47"/>
    <mergeCell ref="AD41:AH41"/>
    <mergeCell ref="U47:V47"/>
    <mergeCell ref="F42:G42"/>
    <mergeCell ref="H42:K42"/>
    <mergeCell ref="AY21:BD21"/>
    <mergeCell ref="AK21:AX21"/>
    <mergeCell ref="AN17:AO17"/>
    <mergeCell ref="AK7:AP7"/>
    <mergeCell ref="J15:K16"/>
    <mergeCell ref="F15:H16"/>
    <mergeCell ref="M15:N16"/>
    <mergeCell ref="AK17:AL17"/>
    <mergeCell ref="AL36:AM36"/>
    <mergeCell ref="AN36:AR36"/>
    <mergeCell ref="W21:AA21"/>
    <mergeCell ref="AG25:AH25"/>
    <mergeCell ref="AC21:AJ21"/>
    <mergeCell ref="S21:V21"/>
    <mergeCell ref="AD24:AH24"/>
    <mergeCell ref="P25:Q26"/>
    <mergeCell ref="P35:Q35"/>
    <mergeCell ref="F25:K26"/>
    <mergeCell ref="F33:K34"/>
    <mergeCell ref="P33:Q34"/>
    <mergeCell ref="U36:V36"/>
    <mergeCell ref="A3:D3"/>
    <mergeCell ref="AG8:AG9"/>
    <mergeCell ref="A7:B8"/>
    <mergeCell ref="A12:B13"/>
    <mergeCell ref="AD12:AF13"/>
    <mergeCell ref="A5:R5"/>
    <mergeCell ref="AG12:AG13"/>
    <mergeCell ref="S5:BE5"/>
    <mergeCell ref="AG10:AG11"/>
    <mergeCell ref="Z2:AA2"/>
    <mergeCell ref="AE2:AH2"/>
    <mergeCell ref="D9:Q12"/>
    <mergeCell ref="AQ9:AU10"/>
    <mergeCell ref="AW7:AZ7"/>
    <mergeCell ref="AQ6:AU8"/>
    <mergeCell ref="BA7:BB7"/>
    <mergeCell ref="BA9:BB9"/>
    <mergeCell ref="AC7:AJ7"/>
    <mergeCell ref="A15:C18"/>
    <mergeCell ref="A9:C11"/>
    <mergeCell ref="AD10:AF11"/>
    <mergeCell ref="X17:AA17"/>
    <mergeCell ref="AD14:AF15"/>
    <mergeCell ref="AG16:AG17"/>
    <mergeCell ref="AD16:AF17"/>
    <mergeCell ref="AG14:AG15"/>
    <mergeCell ref="A38:A43"/>
    <mergeCell ref="A20:A21"/>
    <mergeCell ref="A22:A29"/>
    <mergeCell ref="F40:K41"/>
    <mergeCell ref="P40:Q41"/>
    <mergeCell ref="O44:R46"/>
    <mergeCell ref="AG48:AH48"/>
    <mergeCell ref="AE36:AI36"/>
    <mergeCell ref="AG26:AH26"/>
    <mergeCell ref="AD32:AH32"/>
    <mergeCell ref="AE27:AI27"/>
    <mergeCell ref="AE35:AI35"/>
    <mergeCell ref="AG33:AH33"/>
    <mergeCell ref="AE28:AI28"/>
    <mergeCell ref="O49:R51"/>
  </mergeCells>
  <printOptions horizontalCentered="1"/>
  <pageMargins left="0" right="0" top="0.15748031496062992" bottom="0" header="0" footer="0"/>
  <pageSetup paperSize="9" scale="8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0"/>
  <sheetViews>
    <sheetView rightToLeft="1" tabSelected="1" view="pageBreakPreview" zoomScale="82" zoomScaleSheetLayoutView="82"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V28" sqref="V28"/>
    </sheetView>
  </sheetViews>
  <sheetFormatPr defaultColWidth="9.23046875" defaultRowHeight="13.8" x14ac:dyDescent="0.25"/>
  <cols>
    <col min="1" max="1" width="3.4609375" style="224" customWidth="1"/>
    <col min="2" max="2" width="6.69140625" style="224" customWidth="1"/>
    <col min="3" max="3" width="4.84375" style="270" customWidth="1"/>
    <col min="4" max="4" width="2.921875" style="272" customWidth="1"/>
    <col min="5" max="5" width="10.84375" style="224" customWidth="1"/>
    <col min="6" max="7" width="2.69140625" style="224" customWidth="1"/>
    <col min="8" max="8" width="4.69140625" style="224" customWidth="1"/>
    <col min="9" max="10" width="2.69140625" style="224" customWidth="1"/>
    <col min="11" max="13" width="4.69140625" style="224" customWidth="1"/>
    <col min="14" max="14" width="12.15234375" style="224" customWidth="1"/>
    <col min="15" max="15" width="9.921875" style="224" customWidth="1"/>
    <col min="16" max="16" width="9.765625" style="224" customWidth="1"/>
    <col min="17" max="17" width="9.69140625" style="224" customWidth="1"/>
    <col min="18" max="19" width="13.3046875" style="224" customWidth="1"/>
    <col min="20" max="20" width="19.61328125" style="224" customWidth="1"/>
    <col min="21" max="21" width="14.4609375" style="224" customWidth="1"/>
    <col min="22" max="16384" width="9.23046875" style="224"/>
  </cols>
  <sheetData>
    <row r="1" spans="1:20" ht="15.6" x14ac:dyDescent="0.3">
      <c r="A1" s="221" t="s">
        <v>0</v>
      </c>
      <c r="B1" s="221"/>
      <c r="C1" s="222"/>
      <c r="D1" s="223"/>
      <c r="E1" s="2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20" ht="15.6" x14ac:dyDescent="0.3">
      <c r="A2" s="221" t="s">
        <v>1</v>
      </c>
      <c r="B2" s="221"/>
      <c r="C2" s="222"/>
      <c r="D2" s="223"/>
      <c r="E2" s="223"/>
      <c r="F2" s="424"/>
      <c r="G2" s="424"/>
      <c r="H2" s="424"/>
      <c r="I2" s="424"/>
      <c r="J2" s="424"/>
      <c r="K2" s="424"/>
      <c r="L2" s="23"/>
      <c r="M2" s="225"/>
      <c r="N2" s="225"/>
      <c r="O2" s="223"/>
      <c r="P2" s="225"/>
      <c r="Q2" s="223"/>
      <c r="R2" s="223"/>
    </row>
    <row r="3" spans="1:20" ht="15.6" x14ac:dyDescent="0.3">
      <c r="A3" s="221"/>
      <c r="B3" s="221">
        <v>2025</v>
      </c>
      <c r="C3" s="222"/>
      <c r="D3" s="223"/>
      <c r="E3" s="223"/>
      <c r="F3" s="23"/>
      <c r="G3" s="23"/>
      <c r="H3" s="23"/>
      <c r="I3" s="23">
        <v>1</v>
      </c>
      <c r="J3" s="23"/>
      <c r="K3" s="23"/>
      <c r="L3" s="23"/>
      <c r="M3" s="23"/>
      <c r="N3" s="23"/>
      <c r="O3" s="23"/>
      <c r="P3" s="23"/>
      <c r="Q3" s="23"/>
      <c r="R3" s="23"/>
    </row>
    <row r="4" spans="1:20" ht="18" customHeight="1" thickBot="1" x14ac:dyDescent="0.35">
      <c r="A4" s="23"/>
      <c r="B4" s="23"/>
      <c r="C4" s="222"/>
      <c r="D4" s="223"/>
      <c r="E4" s="223"/>
      <c r="F4" s="424"/>
      <c r="G4" s="424"/>
      <c r="H4" s="424"/>
      <c r="I4" s="424"/>
      <c r="J4" s="424"/>
      <c r="K4" s="424"/>
      <c r="L4" s="23"/>
      <c r="M4" s="23"/>
      <c r="N4" s="226"/>
      <c r="O4" s="223"/>
      <c r="P4" s="223"/>
      <c r="Q4" s="23"/>
      <c r="R4" s="23"/>
    </row>
    <row r="5" spans="1:20" ht="25.2" customHeight="1" thickBot="1" x14ac:dyDescent="0.35">
      <c r="A5" s="23"/>
      <c r="B5" s="23"/>
      <c r="C5" s="222"/>
      <c r="D5" s="223"/>
      <c r="E5" s="223"/>
      <c r="F5" s="23"/>
      <c r="G5" s="23"/>
      <c r="H5" s="23"/>
      <c r="I5" s="23"/>
      <c r="J5" s="23"/>
      <c r="K5" s="23"/>
      <c r="L5" s="425"/>
      <c r="M5" s="426"/>
      <c r="N5" s="227"/>
      <c r="O5" s="415" t="s">
        <v>2</v>
      </c>
      <c r="P5" s="416"/>
      <c r="Q5" s="415" t="s">
        <v>3</v>
      </c>
      <c r="R5" s="416"/>
    </row>
    <row r="6" spans="1:20" ht="43.8" customHeight="1" thickTop="1" thickBot="1" x14ac:dyDescent="0.3">
      <c r="A6" s="228" t="s">
        <v>4</v>
      </c>
      <c r="B6" s="417" t="s">
        <v>5</v>
      </c>
      <c r="C6" s="418"/>
      <c r="D6" s="229" t="s">
        <v>6</v>
      </c>
      <c r="E6" s="230" t="s">
        <v>7</v>
      </c>
      <c r="F6" s="421" t="s">
        <v>8</v>
      </c>
      <c r="G6" s="422"/>
      <c r="H6" s="423"/>
      <c r="I6" s="421" t="s">
        <v>9</v>
      </c>
      <c r="J6" s="422"/>
      <c r="K6" s="423"/>
      <c r="L6" s="428" t="s">
        <v>10</v>
      </c>
      <c r="M6" s="429"/>
      <c r="N6" s="231" t="s">
        <v>11</v>
      </c>
      <c r="O6" s="230" t="s">
        <v>11</v>
      </c>
      <c r="P6" s="230" t="s">
        <v>12</v>
      </c>
      <c r="Q6" s="230" t="s">
        <v>13</v>
      </c>
      <c r="R6" s="230" t="s">
        <v>14</v>
      </c>
      <c r="S6" s="232" t="s">
        <v>15</v>
      </c>
    </row>
    <row r="7" spans="1:20" ht="34.5" customHeight="1" thickBot="1" x14ac:dyDescent="0.3">
      <c r="A7" s="233"/>
      <c r="B7" s="419"/>
      <c r="C7" s="420"/>
      <c r="D7" s="234" t="s">
        <v>16</v>
      </c>
      <c r="E7" s="235"/>
      <c r="F7" s="236" t="s">
        <v>17</v>
      </c>
      <c r="G7" s="237" t="s">
        <v>18</v>
      </c>
      <c r="H7" s="238" t="s">
        <v>19</v>
      </c>
      <c r="I7" s="236" t="s">
        <v>17</v>
      </c>
      <c r="J7" s="237" t="s">
        <v>18</v>
      </c>
      <c r="K7" s="238" t="s">
        <v>19</v>
      </c>
      <c r="L7" s="239" t="s">
        <v>17</v>
      </c>
      <c r="M7" s="240" t="s">
        <v>18</v>
      </c>
      <c r="N7" s="241" t="s">
        <v>20</v>
      </c>
      <c r="O7" s="242" t="s">
        <v>20</v>
      </c>
      <c r="P7" s="243" t="s">
        <v>21</v>
      </c>
      <c r="Q7" s="242" t="s">
        <v>22</v>
      </c>
      <c r="R7" s="242" t="s">
        <v>23</v>
      </c>
      <c r="S7" s="244"/>
    </row>
    <row r="8" spans="1:20" ht="25.2" customHeight="1" x14ac:dyDescent="0.3">
      <c r="A8" s="245">
        <v>1</v>
      </c>
      <c r="B8" s="246">
        <v>49814</v>
      </c>
      <c r="C8" s="247" t="s">
        <v>135</v>
      </c>
      <c r="D8" s="274">
        <v>1</v>
      </c>
      <c r="E8" s="273" t="s">
        <v>150</v>
      </c>
      <c r="F8" s="250">
        <v>1</v>
      </c>
      <c r="G8" s="250">
        <v>11</v>
      </c>
      <c r="H8" s="251">
        <v>2020</v>
      </c>
      <c r="I8" s="246">
        <v>30</v>
      </c>
      <c r="J8" s="246">
        <v>6</v>
      </c>
      <c r="K8" s="246">
        <v>2025</v>
      </c>
      <c r="L8" s="21">
        <f>IF($H8=0,0,IF($H8&lt;$N$4,IF($K8=$N$4,IF($J8&lt;10,$J8,9),9))+IF($H8=$N$4,IF($K8=$N$4,IF($J8&lt;10,$J8-$G8+1,9-$G8+1))+IF($H8=$N$4,IF($K8=0,IF($G8&lt;10,9-$G8+1,0),0))))</f>
        <v>0</v>
      </c>
      <c r="M8" s="21">
        <v>6</v>
      </c>
      <c r="N8" s="245">
        <v>110550000</v>
      </c>
      <c r="O8" s="245">
        <v>110550000</v>
      </c>
      <c r="P8" s="245">
        <v>9396750</v>
      </c>
      <c r="Q8" s="274">
        <v>72000000</v>
      </c>
      <c r="R8" s="245">
        <v>110550000</v>
      </c>
      <c r="S8" s="248"/>
    </row>
    <row r="9" spans="1:20" s="253" customFormat="1" ht="25.2" customHeight="1" x14ac:dyDescent="0.3">
      <c r="A9" s="245">
        <f t="shared" ref="A9:A16" si="0">IF(R9=0,0,1)</f>
        <v>1</v>
      </c>
      <c r="B9" s="246">
        <v>602992</v>
      </c>
      <c r="C9" s="247" t="s">
        <v>136</v>
      </c>
      <c r="D9" s="252"/>
      <c r="E9" s="273" t="s">
        <v>151</v>
      </c>
      <c r="F9" s="252">
        <v>1</v>
      </c>
      <c r="G9" s="252">
        <v>10</v>
      </c>
      <c r="H9" s="246">
        <v>2018</v>
      </c>
      <c r="I9" s="250">
        <v>30</v>
      </c>
      <c r="J9" s="250">
        <v>9</v>
      </c>
      <c r="K9" s="250">
        <v>2025</v>
      </c>
      <c r="L9" s="21">
        <f>IF($H9=0,0,IF($H9&lt;$N$4,IF($K9=$N$4,IF($J9&lt;10,$J9,9),9))+IF($H9=$N$4,IF($K9=$N$4,IF($J9&lt;10,$J9-$G9+1,9-$G9+1))+IF($H9=$N$4,IF($K9=0,IF($G9&lt;10,9-$G9+1,0),0))))</f>
        <v>0</v>
      </c>
      <c r="M9" s="21">
        <v>9</v>
      </c>
      <c r="N9" s="245">
        <v>182000000</v>
      </c>
      <c r="O9" s="245">
        <v>0</v>
      </c>
      <c r="P9" s="245">
        <v>0</v>
      </c>
      <c r="Q9" s="245">
        <v>0</v>
      </c>
      <c r="R9" s="245">
        <v>182000000</v>
      </c>
      <c r="S9" s="248"/>
      <c r="T9" s="224"/>
    </row>
    <row r="10" spans="1:20" ht="25.2" customHeight="1" x14ac:dyDescent="0.3">
      <c r="A10" s="245">
        <f t="shared" si="0"/>
        <v>1</v>
      </c>
      <c r="B10" s="246">
        <v>639852</v>
      </c>
      <c r="C10" s="247" t="s">
        <v>141</v>
      </c>
      <c r="D10" s="252"/>
      <c r="E10" s="273" t="s">
        <v>152</v>
      </c>
      <c r="F10" s="252">
        <v>1</v>
      </c>
      <c r="G10" s="252">
        <v>2</v>
      </c>
      <c r="H10" s="246">
        <v>2017</v>
      </c>
      <c r="I10" s="246"/>
      <c r="J10" s="246"/>
      <c r="K10" s="246"/>
      <c r="L10" s="21">
        <f>IF($H10=0,0,IF($H10&lt;$N$4,IF($K10=$N$4,IF($J10&lt;10,$J10,9),9))+IF($H10=$N$4,IF($K10=$N$4,IF($J10&lt;10,$J10-$G10+1,9-$G10+1))+IF($H10=$N$4,IF($K10=0,IF($G10&lt;10,9-$G10+1,0),0))))</f>
        <v>0</v>
      </c>
      <c r="M10" s="21">
        <v>12</v>
      </c>
      <c r="N10" s="245">
        <v>341075000</v>
      </c>
      <c r="O10" s="245">
        <v>0</v>
      </c>
      <c r="P10" s="245">
        <v>0</v>
      </c>
      <c r="Q10" s="245">
        <v>0</v>
      </c>
      <c r="R10" s="245">
        <v>341075000</v>
      </c>
      <c r="S10" s="248"/>
    </row>
    <row r="11" spans="1:20" ht="25.2" customHeight="1" x14ac:dyDescent="0.3">
      <c r="A11" s="245">
        <f t="shared" si="0"/>
        <v>1</v>
      </c>
      <c r="B11" s="246">
        <v>726166</v>
      </c>
      <c r="C11" s="247" t="s">
        <v>142</v>
      </c>
      <c r="D11" s="252"/>
      <c r="E11" s="273" t="s">
        <v>153</v>
      </c>
      <c r="F11" s="252">
        <v>1</v>
      </c>
      <c r="G11" s="252">
        <v>4</v>
      </c>
      <c r="H11" s="246">
        <v>2023</v>
      </c>
      <c r="I11" s="252"/>
      <c r="J11" s="252"/>
      <c r="K11" s="246"/>
      <c r="L11" s="21">
        <f>IF($H11=0,0,IF($H11&lt;$N$4,IF($K11=$N$4,IF($J11&lt;10,$J11,9),9))+IF($H11=$N$4,IF($K11=$N$4,IF($J11&lt;10,$J11-$G11+1,9-$G11+1))+IF($H11=$N$4,IF($K11=0,IF($G11&lt;10,9-$G11+1,0),0))))</f>
        <v>0</v>
      </c>
      <c r="M11" s="21">
        <v>12</v>
      </c>
      <c r="N11" s="245">
        <v>278000000</v>
      </c>
      <c r="O11" s="245">
        <v>0</v>
      </c>
      <c r="P11" s="245">
        <v>0</v>
      </c>
      <c r="Q11" s="245">
        <v>0</v>
      </c>
      <c r="R11" s="245">
        <v>278000000</v>
      </c>
      <c r="S11" s="248"/>
    </row>
    <row r="12" spans="1:20" s="253" customFormat="1" ht="25.2" customHeight="1" x14ac:dyDescent="0.3">
      <c r="A12" s="245">
        <f t="shared" si="0"/>
        <v>1</v>
      </c>
      <c r="B12" s="246">
        <v>778170</v>
      </c>
      <c r="C12" s="247" t="s">
        <v>143</v>
      </c>
      <c r="D12" s="252"/>
      <c r="E12" s="273" t="s">
        <v>154</v>
      </c>
      <c r="F12" s="252">
        <v>1</v>
      </c>
      <c r="G12" s="252">
        <v>10</v>
      </c>
      <c r="H12" s="246">
        <v>2022</v>
      </c>
      <c r="I12" s="252"/>
      <c r="J12" s="252"/>
      <c r="K12" s="246"/>
      <c r="L12" s="21">
        <f>IF($H12=0,0,IF($H12&lt;$N$4,IF($K12=$N$4,IF($J12&lt;10,$J12,9),9))+IF($H12=$N$4,IF($K12=$N$4,IF($J12&lt;10,$J12-$G12+1,9-$G12+1))+IF($H12=$N$4,IF($K12=0,IF($G12&lt;10,9-$G12+1,0),0))))</f>
        <v>0</v>
      </c>
      <c r="M12" s="21">
        <v>12</v>
      </c>
      <c r="N12" s="245">
        <v>353990000</v>
      </c>
      <c r="O12" s="245">
        <v>0</v>
      </c>
      <c r="P12" s="245">
        <v>0</v>
      </c>
      <c r="Q12" s="245">
        <v>0</v>
      </c>
      <c r="R12" s="245">
        <v>353990000</v>
      </c>
      <c r="S12" s="248"/>
      <c r="T12" s="224"/>
    </row>
    <row r="13" spans="1:20" s="4" customFormat="1" ht="25.2" customHeight="1" x14ac:dyDescent="0.3">
      <c r="A13" s="245">
        <f t="shared" si="0"/>
        <v>1</v>
      </c>
      <c r="B13" s="246">
        <v>788049</v>
      </c>
      <c r="C13" s="247" t="s">
        <v>144</v>
      </c>
      <c r="D13" s="252"/>
      <c r="E13" s="273" t="s">
        <v>155</v>
      </c>
      <c r="F13" s="252">
        <v>1</v>
      </c>
      <c r="G13" s="252">
        <v>10</v>
      </c>
      <c r="H13" s="246">
        <v>2010</v>
      </c>
      <c r="I13" s="252"/>
      <c r="J13" s="252"/>
      <c r="K13" s="246"/>
      <c r="L13" s="21">
        <f>IF($H13=0,0,IF($H13&lt;$N$4,IF($K13=$N$4,IF($J13&lt;10,$J13,9),9))+IF($H13=$N$4,IF($K13=$N$4,IF($J13&lt;10,$J13-$G13+1,9-$G13+1))+IF($H13=$N$4,IF($K13=0,IF($G13&lt;10,9-$G13+1,0),0))))</f>
        <v>0</v>
      </c>
      <c r="M13" s="21">
        <v>12</v>
      </c>
      <c r="N13" s="245">
        <v>353645000</v>
      </c>
      <c r="O13" s="245">
        <v>0</v>
      </c>
      <c r="P13" s="245">
        <v>0</v>
      </c>
      <c r="Q13" s="245">
        <v>0</v>
      </c>
      <c r="R13" s="245">
        <v>353645000</v>
      </c>
      <c r="S13" s="248"/>
      <c r="T13" s="224"/>
    </row>
    <row r="14" spans="1:20" s="253" customFormat="1" ht="25.2" customHeight="1" x14ac:dyDescent="0.3">
      <c r="A14" s="245">
        <f t="shared" si="0"/>
        <v>1</v>
      </c>
      <c r="B14" s="246">
        <v>788055</v>
      </c>
      <c r="C14" s="247" t="s">
        <v>144</v>
      </c>
      <c r="D14" s="252"/>
      <c r="E14" s="273" t="s">
        <v>156</v>
      </c>
      <c r="F14" s="252">
        <v>1</v>
      </c>
      <c r="G14" s="252">
        <v>10</v>
      </c>
      <c r="H14" s="246">
        <v>2025</v>
      </c>
      <c r="I14" s="252"/>
      <c r="J14" s="252"/>
      <c r="K14" s="246"/>
      <c r="L14" s="21">
        <f>IF($H14=0,0,IF($H14&lt;$N$4,IF($K14=$N$4,IF($J14&lt;10,$J14,9),9))+IF($H14=$N$4,IF($K14=$N$4,IF($J14&lt;10,$J14-$G14+1,9-$G14+1))+IF($H14=$N$4,IF($K14=0,IF($G14&lt;10,9-$G14+1,0),0))))</f>
        <v>0</v>
      </c>
      <c r="M14" s="21">
        <v>12</v>
      </c>
      <c r="N14" s="245">
        <v>171300000</v>
      </c>
      <c r="O14" s="245">
        <v>0</v>
      </c>
      <c r="P14" s="245">
        <v>0</v>
      </c>
      <c r="Q14" s="245">
        <v>0</v>
      </c>
      <c r="R14" s="245">
        <v>171300000</v>
      </c>
      <c r="S14" s="248"/>
      <c r="T14" s="224"/>
    </row>
    <row r="15" spans="1:20" s="255" customFormat="1" ht="25.2" customHeight="1" x14ac:dyDescent="0.3">
      <c r="A15" s="245">
        <f t="shared" si="0"/>
        <v>1</v>
      </c>
      <c r="B15" s="247" t="s">
        <v>132</v>
      </c>
      <c r="C15" s="247" t="s">
        <v>145</v>
      </c>
      <c r="D15" s="252"/>
      <c r="E15" s="273" t="s">
        <v>157</v>
      </c>
      <c r="F15" s="252">
        <v>1</v>
      </c>
      <c r="G15" s="252">
        <v>10</v>
      </c>
      <c r="H15" s="246">
        <v>2024</v>
      </c>
      <c r="I15" s="246"/>
      <c r="J15" s="246"/>
      <c r="K15" s="246"/>
      <c r="L15" s="21">
        <f>IF($H15=0,0,IF($H15&lt;$N$4,IF($K15=$N$4,IF($J15&lt;10,$J15,9),9))+IF($H15=$N$4,IF($K15=$N$4,IF($J15&lt;10,$J15-$G15+1,9-$G15+1))+IF($H15=$N$4,IF($K15=0,IF($G15&lt;10,9-$G15+1,0),0))))</f>
        <v>0</v>
      </c>
      <c r="M15" s="21">
        <v>12</v>
      </c>
      <c r="N15" s="245">
        <v>280000000</v>
      </c>
      <c r="O15" s="245">
        <v>0</v>
      </c>
      <c r="P15" s="245">
        <v>0</v>
      </c>
      <c r="Q15" s="245">
        <v>0</v>
      </c>
      <c r="R15" s="245">
        <v>280000000</v>
      </c>
      <c r="S15" s="248"/>
      <c r="T15" s="224"/>
    </row>
    <row r="16" spans="1:20" s="189" customFormat="1" ht="25.2" customHeight="1" x14ac:dyDescent="0.3">
      <c r="A16" s="245">
        <f t="shared" si="0"/>
        <v>1</v>
      </c>
      <c r="B16" s="246">
        <v>911695</v>
      </c>
      <c r="C16" s="247" t="s">
        <v>146</v>
      </c>
      <c r="D16" s="254">
        <v>1</v>
      </c>
      <c r="E16" s="273" t="s">
        <v>158</v>
      </c>
      <c r="F16" s="252">
        <v>1</v>
      </c>
      <c r="G16" s="252">
        <v>10</v>
      </c>
      <c r="H16" s="246">
        <v>2019</v>
      </c>
      <c r="I16" s="246"/>
      <c r="J16" s="246"/>
      <c r="K16" s="246"/>
      <c r="L16" s="21">
        <f>IF($H16=0,0,IF($H16&lt;$N$4,IF($K16=$N$4,IF($J16&lt;10,$J16,9),9))+IF($H16=$N$4,IF($K16=$N$4,IF($J16&lt;10,$J16-$G16+1,9-$G16+1))+IF($H16=$N$4,IF($K16=0,IF($G16&lt;10,9-$G16+1,0),0))))</f>
        <v>0</v>
      </c>
      <c r="M16" s="21">
        <v>12</v>
      </c>
      <c r="N16" s="245">
        <v>277675000</v>
      </c>
      <c r="O16" s="245">
        <v>277675000</v>
      </c>
      <c r="P16" s="245">
        <v>23602375</v>
      </c>
      <c r="Q16" s="245">
        <v>180000000</v>
      </c>
      <c r="R16" s="245">
        <v>277675000</v>
      </c>
      <c r="S16" s="248"/>
      <c r="T16" s="224"/>
    </row>
    <row r="17" spans="1:20" s="4" customFormat="1" ht="25.2" customHeight="1" x14ac:dyDescent="0.3">
      <c r="A17" s="245">
        <f t="shared" ref="A17:A62" si="1">IF(R17=0,0,1)</f>
        <v>1</v>
      </c>
      <c r="B17" s="246">
        <v>931375</v>
      </c>
      <c r="C17" s="247" t="s">
        <v>137</v>
      </c>
      <c r="D17" s="252"/>
      <c r="E17" s="273" t="s">
        <v>159</v>
      </c>
      <c r="F17" s="252">
        <v>1</v>
      </c>
      <c r="G17" s="252">
        <v>10</v>
      </c>
      <c r="H17" s="246">
        <v>2010</v>
      </c>
      <c r="I17" s="252"/>
      <c r="J17" s="252"/>
      <c r="K17" s="246"/>
      <c r="L17" s="21">
        <f>IF($H17=0,0,IF($H17&lt;$N$4,IF($K17=$N$4,IF($J17&lt;10,$J17,9),9))+IF($H17=$N$4,IF($K17=$N$4,IF($J17&lt;10,$J17-$G17+1,9-$G17+1))+IF($H17=$N$4,IF($K17=0,IF($G17&lt;10,9-$G17+1,0),0))))</f>
        <v>0</v>
      </c>
      <c r="M17" s="21">
        <v>12</v>
      </c>
      <c r="N17" s="245">
        <v>353015000</v>
      </c>
      <c r="O17" s="245">
        <v>0</v>
      </c>
      <c r="P17" s="245">
        <v>0</v>
      </c>
      <c r="Q17" s="245">
        <v>0</v>
      </c>
      <c r="R17" s="245">
        <v>353015000</v>
      </c>
      <c r="S17" s="248"/>
      <c r="T17" s="224"/>
    </row>
    <row r="18" spans="1:20" s="255" customFormat="1" ht="25.2" customHeight="1" x14ac:dyDescent="0.3">
      <c r="A18" s="245">
        <f>IF(R18=0,0,1)</f>
        <v>1</v>
      </c>
      <c r="B18" s="247" t="s">
        <v>133</v>
      </c>
      <c r="C18" s="247" t="s">
        <v>142</v>
      </c>
      <c r="D18" s="252"/>
      <c r="E18" s="273" t="s">
        <v>160</v>
      </c>
      <c r="F18" s="252">
        <v>1</v>
      </c>
      <c r="G18" s="252">
        <v>10</v>
      </c>
      <c r="H18" s="246">
        <v>2010</v>
      </c>
      <c r="I18" s="246"/>
      <c r="J18" s="246"/>
      <c r="K18" s="246"/>
      <c r="L18" s="21">
        <f>IF($H18=0,0,IF($H18&lt;$N$4,IF($K18=$N$4,IF($J18&lt;10,$J18,9),9))+IF($H18=$N$4,IF($K18=$N$4,IF($J18&lt;10,$J18-$G18+1,9-$G18+1))+IF($H18=$N$4,IF($K18=0,IF($G18&lt;10,9-$G18+1,0),0))))</f>
        <v>0</v>
      </c>
      <c r="M18" s="21">
        <v>12</v>
      </c>
      <c r="N18" s="245">
        <v>341075000</v>
      </c>
      <c r="O18" s="245">
        <v>0</v>
      </c>
      <c r="P18" s="245">
        <v>0</v>
      </c>
      <c r="Q18" s="245">
        <v>0</v>
      </c>
      <c r="R18" s="245">
        <v>341075000</v>
      </c>
      <c r="S18" s="248"/>
      <c r="T18" s="224"/>
    </row>
    <row r="19" spans="1:20" ht="25.2" customHeight="1" x14ac:dyDescent="0.3">
      <c r="A19" s="245">
        <f t="shared" si="1"/>
        <v>1</v>
      </c>
      <c r="B19" s="246">
        <v>980121</v>
      </c>
      <c r="C19" s="247" t="s">
        <v>147</v>
      </c>
      <c r="D19" s="252"/>
      <c r="E19" s="273" t="s">
        <v>161</v>
      </c>
      <c r="F19" s="252">
        <v>1</v>
      </c>
      <c r="G19" s="252">
        <v>10</v>
      </c>
      <c r="H19" s="246">
        <v>2022</v>
      </c>
      <c r="I19" s="252">
        <v>30</v>
      </c>
      <c r="J19" s="252">
        <v>9</v>
      </c>
      <c r="K19" s="246">
        <v>2025</v>
      </c>
      <c r="L19" s="21">
        <f>IF($H19=0,0,IF($H19&lt;$N$4,IF($K19=$N$4,IF($J19&lt;10,$J19,9),9))+IF($H19=$N$4,IF($K19=$N$4,IF($J19&lt;10,$J19-$G19+1,9-$G19+1))+IF($H19=$N$4,IF($K19=0,IF($G19&lt;10,9-$G19+1,0),0))))</f>
        <v>0</v>
      </c>
      <c r="M19" s="21">
        <v>9</v>
      </c>
      <c r="N19" s="245">
        <v>182000000</v>
      </c>
      <c r="O19" s="245">
        <v>0</v>
      </c>
      <c r="P19" s="245">
        <v>0</v>
      </c>
      <c r="Q19" s="245">
        <v>0</v>
      </c>
      <c r="R19" s="245">
        <v>182000000</v>
      </c>
      <c r="S19" s="248"/>
    </row>
    <row r="20" spans="1:20" s="253" customFormat="1" ht="25.2" customHeight="1" x14ac:dyDescent="0.3">
      <c r="A20" s="245">
        <f t="shared" si="1"/>
        <v>1</v>
      </c>
      <c r="B20" s="246">
        <v>1006749</v>
      </c>
      <c r="C20" s="247" t="s">
        <v>141</v>
      </c>
      <c r="D20" s="252"/>
      <c r="E20" s="273" t="s">
        <v>162</v>
      </c>
      <c r="F20" s="252">
        <v>1</v>
      </c>
      <c r="G20" s="252">
        <v>10</v>
      </c>
      <c r="H20" s="246">
        <v>2010</v>
      </c>
      <c r="I20" s="252"/>
      <c r="J20" s="252"/>
      <c r="K20" s="246"/>
      <c r="L20" s="21">
        <f>IF($H20=0,0,IF($H20&lt;$N$4,IF($K20=$N$4,IF($J20&lt;10,$J20,9),9))+IF($H20=$N$4,IF($K20=$N$4,IF($J20&lt;10,$J20-$G20+1,9-$G20+1))+IF($H20=$N$4,IF($K20=0,IF($G20&lt;10,9-$G20+1,0),0))))</f>
        <v>0</v>
      </c>
      <c r="M20" s="21">
        <v>12</v>
      </c>
      <c r="N20" s="245">
        <v>341000000</v>
      </c>
      <c r="O20" s="245">
        <v>0</v>
      </c>
      <c r="P20" s="245">
        <v>0</v>
      </c>
      <c r="Q20" s="245">
        <v>0</v>
      </c>
      <c r="R20" s="245">
        <v>341000000</v>
      </c>
      <c r="S20" s="248"/>
      <c r="T20" s="224"/>
    </row>
    <row r="21" spans="1:20" ht="25.2" customHeight="1" x14ac:dyDescent="0.3">
      <c r="A21" s="245">
        <f>IF(R21=0,0,1)</f>
        <v>1</v>
      </c>
      <c r="B21" s="246">
        <v>1031591</v>
      </c>
      <c r="C21" s="247" t="s">
        <v>138</v>
      </c>
      <c r="D21" s="252"/>
      <c r="E21" s="273" t="s">
        <v>163</v>
      </c>
      <c r="F21" s="252">
        <v>1</v>
      </c>
      <c r="G21" s="252">
        <v>10</v>
      </c>
      <c r="H21" s="246">
        <v>2010</v>
      </c>
      <c r="I21" s="252"/>
      <c r="J21" s="252"/>
      <c r="K21" s="246"/>
      <c r="L21" s="21">
        <f>IF($H21=0,0,IF($H21&lt;$N$4,IF($K21=$N$4,IF($J21&lt;10,$J21,9),9))+IF($H21=$N$4,IF($K21=$N$4,IF($J21&lt;10,$J21-$G21+1,9-$G21+1))+IF($H21=$N$4,IF($K21=0,IF($G21&lt;10,9-$G21+1,0),0))))</f>
        <v>0</v>
      </c>
      <c r="M21" s="21">
        <v>12</v>
      </c>
      <c r="N21" s="245">
        <v>355805000</v>
      </c>
      <c r="O21" s="245">
        <v>0</v>
      </c>
      <c r="P21" s="245">
        <v>0</v>
      </c>
      <c r="Q21" s="245">
        <v>0</v>
      </c>
      <c r="R21" s="245">
        <v>355805000</v>
      </c>
      <c r="S21" s="248"/>
    </row>
    <row r="22" spans="1:20" s="253" customFormat="1" ht="25.2" customHeight="1" x14ac:dyDescent="0.3">
      <c r="A22" s="245">
        <f t="shared" si="1"/>
        <v>1</v>
      </c>
      <c r="B22" s="246">
        <v>1033307</v>
      </c>
      <c r="C22" s="247" t="s">
        <v>145</v>
      </c>
      <c r="D22" s="252"/>
      <c r="E22" s="273" t="s">
        <v>164</v>
      </c>
      <c r="F22" s="252">
        <v>1</v>
      </c>
      <c r="G22" s="252">
        <v>10</v>
      </c>
      <c r="H22" s="246">
        <v>2010</v>
      </c>
      <c r="I22" s="252"/>
      <c r="J22" s="252"/>
      <c r="K22" s="246"/>
      <c r="L22" s="21">
        <f>IF($H22=0,0,IF($H22&lt;$N$4,IF($K22=$N$4,IF($J22&lt;10,$J22,9),9))+IF($H22=$N$4,IF($K22=$N$4,IF($J22&lt;10,$J22-$G22+1,9-$G22+1))+IF($H22=$N$4,IF($K22=0,IF($G22&lt;10,9-$G22+1,0),0))))</f>
        <v>0</v>
      </c>
      <c r="M22" s="21">
        <v>12</v>
      </c>
      <c r="N22" s="245">
        <v>356585000</v>
      </c>
      <c r="O22" s="245">
        <v>0</v>
      </c>
      <c r="P22" s="245">
        <v>0</v>
      </c>
      <c r="Q22" s="245">
        <v>0</v>
      </c>
      <c r="R22" s="245">
        <v>356585000</v>
      </c>
      <c r="S22" s="248"/>
      <c r="T22" s="224"/>
    </row>
    <row r="23" spans="1:20" s="4" customFormat="1" ht="25.2" customHeight="1" x14ac:dyDescent="0.3">
      <c r="A23" s="245">
        <f t="shared" si="1"/>
        <v>1</v>
      </c>
      <c r="B23" s="246">
        <v>1222516</v>
      </c>
      <c r="C23" s="247" t="s">
        <v>134</v>
      </c>
      <c r="D23" s="252"/>
      <c r="E23" s="273" t="s">
        <v>165</v>
      </c>
      <c r="F23" s="252">
        <v>1</v>
      </c>
      <c r="G23" s="252">
        <v>10</v>
      </c>
      <c r="H23" s="246">
        <v>2010</v>
      </c>
      <c r="I23" s="252"/>
      <c r="J23" s="252"/>
      <c r="K23" s="246"/>
      <c r="L23" s="21">
        <f>IF($H23=0,0,IF($H23&lt;$N$4,IF($K23=$N$4,IF($J23&lt;10,$J23,9),9))+IF($H23=$N$4,IF($K23=$N$4,IF($J23&lt;10,$J23-$G23+1,9-$G23+1))+IF($H23=$N$4,IF($K23=0,IF($G23&lt;10,9-$G23+1,0),0))))</f>
        <v>0</v>
      </c>
      <c r="M23" s="21">
        <v>12</v>
      </c>
      <c r="N23" s="245">
        <v>354335000</v>
      </c>
      <c r="O23" s="245">
        <v>0</v>
      </c>
      <c r="P23" s="245">
        <v>0</v>
      </c>
      <c r="Q23" s="245">
        <v>0</v>
      </c>
      <c r="R23" s="245">
        <v>354335000</v>
      </c>
      <c r="S23" s="248"/>
      <c r="T23" s="224"/>
    </row>
    <row r="24" spans="1:20" ht="25.2" customHeight="1" x14ac:dyDescent="0.3">
      <c r="A24" s="245">
        <f>IF(R24=0,0,1)</f>
        <v>1</v>
      </c>
      <c r="B24" s="246">
        <v>1239319</v>
      </c>
      <c r="C24" s="247" t="s">
        <v>148</v>
      </c>
      <c r="D24" s="252"/>
      <c r="E24" s="273" t="s">
        <v>166</v>
      </c>
      <c r="F24" s="252">
        <v>1</v>
      </c>
      <c r="G24" s="252">
        <v>10</v>
      </c>
      <c r="H24" s="246">
        <v>2010</v>
      </c>
      <c r="I24" s="252"/>
      <c r="J24" s="252"/>
      <c r="K24" s="246"/>
      <c r="L24" s="21">
        <f>IF($H24=0,0,IF($H24&lt;$N$4,IF($K24=$N$4,IF($J24&lt;10,$J24,9),9))+IF($H24=$N$4,IF($K24=$N$4,IF($J24&lt;10,$J24-$G24+1,9-$G24+1))+IF($H24=$N$4,IF($K24=0,IF($G24&lt;10,9-$G24+1,0),0))))</f>
        <v>0</v>
      </c>
      <c r="M24" s="21">
        <v>12</v>
      </c>
      <c r="N24" s="245">
        <v>352160000</v>
      </c>
      <c r="O24" s="245">
        <v>0</v>
      </c>
      <c r="P24" s="245">
        <v>0</v>
      </c>
      <c r="Q24" s="245">
        <v>0</v>
      </c>
      <c r="R24" s="245">
        <v>352160000</v>
      </c>
      <c r="S24" s="248"/>
    </row>
    <row r="25" spans="1:20" ht="25.2" customHeight="1" x14ac:dyDescent="0.3">
      <c r="A25" s="245">
        <f t="shared" si="1"/>
        <v>1</v>
      </c>
      <c r="B25" s="246">
        <v>1261791</v>
      </c>
      <c r="C25" s="247" t="s">
        <v>149</v>
      </c>
      <c r="D25" s="252"/>
      <c r="E25" s="273" t="s">
        <v>167</v>
      </c>
      <c r="F25" s="252">
        <v>1</v>
      </c>
      <c r="G25" s="252">
        <v>10</v>
      </c>
      <c r="H25" s="246">
        <v>2015</v>
      </c>
      <c r="I25" s="252"/>
      <c r="J25" s="252"/>
      <c r="K25" s="246"/>
      <c r="L25" s="21">
        <f>IF($H25=0,0,IF($H25&lt;$N$4,IF($K25=$N$4,IF($J25&lt;10,$J25,9),9))+IF($H25=$N$4,IF($K25=$N$4,IF($J25&lt;10,$J25-$G25+1,9-$G25+1))+IF($H25=$N$4,IF($K25=0,IF($G25&lt;10,9-$G25+1,0),0))))</f>
        <v>0</v>
      </c>
      <c r="M25" s="21">
        <v>12</v>
      </c>
      <c r="N25" s="245">
        <v>349445000</v>
      </c>
      <c r="O25" s="245">
        <v>0</v>
      </c>
      <c r="P25" s="245">
        <v>0</v>
      </c>
      <c r="Q25" s="245">
        <v>0</v>
      </c>
      <c r="R25" s="245">
        <v>349445000</v>
      </c>
      <c r="S25" s="248"/>
    </row>
    <row r="26" spans="1:20" ht="25.2" customHeight="1" x14ac:dyDescent="0.3">
      <c r="A26" s="245">
        <f t="shared" si="1"/>
        <v>1</v>
      </c>
      <c r="B26" s="246">
        <v>1265691</v>
      </c>
      <c r="C26" s="247" t="s">
        <v>139</v>
      </c>
      <c r="D26" s="252"/>
      <c r="E26" s="273" t="s">
        <v>168</v>
      </c>
      <c r="F26" s="252">
        <v>1</v>
      </c>
      <c r="G26" s="252">
        <v>10</v>
      </c>
      <c r="H26" s="246">
        <v>2021</v>
      </c>
      <c r="I26" s="250"/>
      <c r="J26" s="250"/>
      <c r="K26" s="250"/>
      <c r="L26" s="21">
        <f>IF($H26=0,0,IF($H26&lt;$N$4,IF($K26=$N$4,IF($J26&lt;10,$J26,9),9))+IF($H26=$N$4,IF($K26=$N$4,IF($J26&lt;10,$J26-$G26+1,9-$G26+1))+IF($H26=$N$4,IF($K26=0,IF($G26&lt;10,9-$G26+1,0),0))))</f>
        <v>0</v>
      </c>
      <c r="M26" s="21">
        <v>12</v>
      </c>
      <c r="N26" s="245">
        <v>354680000</v>
      </c>
      <c r="O26" s="245">
        <v>0</v>
      </c>
      <c r="P26" s="245">
        <v>0</v>
      </c>
      <c r="Q26" s="245">
        <v>0</v>
      </c>
      <c r="R26" s="245">
        <v>354680000</v>
      </c>
      <c r="S26" s="248"/>
    </row>
    <row r="27" spans="1:20" ht="25.2" customHeight="1" x14ac:dyDescent="0.25">
      <c r="A27" s="256">
        <f>SUM(A8:A26)</f>
        <v>19</v>
      </c>
      <c r="B27" s="257"/>
      <c r="C27" s="258"/>
      <c r="D27" s="256">
        <f>SUM(D8:D26)</f>
        <v>2</v>
      </c>
      <c r="E27" s="259" t="s">
        <v>24</v>
      </c>
      <c r="F27" s="260">
        <f t="shared" ref="F27:R27" si="2">SUM(F8:F26)</f>
        <v>19</v>
      </c>
      <c r="G27" s="260">
        <f t="shared" si="2"/>
        <v>177</v>
      </c>
      <c r="H27" s="260">
        <f t="shared" si="2"/>
        <v>38306</v>
      </c>
      <c r="I27" s="260">
        <f t="shared" si="2"/>
        <v>90</v>
      </c>
      <c r="J27" s="260">
        <f t="shared" si="2"/>
        <v>24</v>
      </c>
      <c r="K27" s="260">
        <f t="shared" si="2"/>
        <v>6075</v>
      </c>
      <c r="L27" s="260">
        <f t="shared" si="2"/>
        <v>0</v>
      </c>
      <c r="M27" s="260">
        <f t="shared" si="2"/>
        <v>216</v>
      </c>
      <c r="N27" s="256">
        <f t="shared" si="2"/>
        <v>5688335000</v>
      </c>
      <c r="O27" s="256">
        <f t="shared" si="2"/>
        <v>388225000</v>
      </c>
      <c r="P27" s="256">
        <f t="shared" si="2"/>
        <v>32999125</v>
      </c>
      <c r="Q27" s="256">
        <f t="shared" si="2"/>
        <v>252000000</v>
      </c>
      <c r="R27" s="256">
        <f t="shared" si="2"/>
        <v>5688335000</v>
      </c>
      <c r="S27" s="248"/>
    </row>
    <row r="28" spans="1:20" s="255" customFormat="1" ht="25.2" customHeight="1" x14ac:dyDescent="0.3">
      <c r="A28" s="245">
        <f>IF(R28=0,0,1)</f>
        <v>1</v>
      </c>
      <c r="B28" s="246">
        <v>1270067</v>
      </c>
      <c r="C28" s="247" t="s">
        <v>144</v>
      </c>
      <c r="D28" s="252"/>
      <c r="E28" s="273" t="s">
        <v>180</v>
      </c>
      <c r="F28" s="250">
        <v>1</v>
      </c>
      <c r="G28" s="250">
        <v>10</v>
      </c>
      <c r="H28" s="251">
        <v>2010</v>
      </c>
      <c r="I28" s="252"/>
      <c r="J28" s="252"/>
      <c r="K28" s="246"/>
      <c r="L28" s="21">
        <f>IF($H28=0,0,IF($H28&lt;$N$4,IF($K28=$N$4,IF($J28&lt;10,$J28,9),9))+IF($H28=$N$4,IF($K28=$N$4,IF($J28&lt;10,$J28-$G28+1,9-$G28+1))+IF($H28=$N$4,IF($K28=0,IF($G28&lt;10,9-$G28+1,0),0))))</f>
        <v>0</v>
      </c>
      <c r="M28" s="21">
        <v>12</v>
      </c>
      <c r="N28" s="245">
        <v>352160000</v>
      </c>
      <c r="O28" s="245">
        <v>0</v>
      </c>
      <c r="P28" s="245">
        <v>0</v>
      </c>
      <c r="Q28" s="245">
        <v>0</v>
      </c>
      <c r="R28" s="245">
        <v>352160000</v>
      </c>
      <c r="S28" s="248"/>
      <c r="T28" s="224"/>
    </row>
    <row r="29" spans="1:20" s="253" customFormat="1" ht="25.2" customHeight="1" x14ac:dyDescent="0.3">
      <c r="A29" s="245">
        <f t="shared" si="1"/>
        <v>1</v>
      </c>
      <c r="B29" s="246">
        <v>1308770</v>
      </c>
      <c r="C29" s="247" t="s">
        <v>169</v>
      </c>
      <c r="D29" s="252"/>
      <c r="E29" s="273" t="s">
        <v>181</v>
      </c>
      <c r="F29" s="250">
        <v>1</v>
      </c>
      <c r="G29" s="250">
        <v>3</v>
      </c>
      <c r="H29" s="251">
        <v>2024</v>
      </c>
      <c r="I29" s="252"/>
      <c r="J29" s="252"/>
      <c r="K29" s="246"/>
      <c r="L29" s="21">
        <f>IF($H29=0,0,IF($H29&lt;$N$4,IF($K29=$N$4,IF($J29&lt;10,$J29,9),9))+IF($H29=$N$4,IF($K29=$N$4,IF($J29&lt;10,$J29-$G29+1,9-$G29+1))+IF($H29=$N$4,IF($K29=0,IF($G29&lt;10,9-$G29+1,0),0))))</f>
        <v>0</v>
      </c>
      <c r="M29" s="21">
        <v>12</v>
      </c>
      <c r="N29" s="245">
        <v>352160000</v>
      </c>
      <c r="O29" s="245">
        <v>0</v>
      </c>
      <c r="P29" s="245">
        <v>0</v>
      </c>
      <c r="Q29" s="245">
        <v>0</v>
      </c>
      <c r="R29" s="245">
        <v>352160000</v>
      </c>
      <c r="S29" s="248"/>
      <c r="T29" s="224"/>
    </row>
    <row r="30" spans="1:20" s="4" customFormat="1" ht="25.2" customHeight="1" x14ac:dyDescent="0.3">
      <c r="A30" s="245">
        <f t="shared" si="1"/>
        <v>1</v>
      </c>
      <c r="B30" s="246">
        <v>1390558</v>
      </c>
      <c r="C30" s="247" t="s">
        <v>170</v>
      </c>
      <c r="D30" s="252"/>
      <c r="E30" s="273" t="s">
        <v>182</v>
      </c>
      <c r="F30" s="250">
        <v>1</v>
      </c>
      <c r="G30" s="250">
        <v>10</v>
      </c>
      <c r="H30" s="251">
        <v>2020</v>
      </c>
      <c r="I30" s="252"/>
      <c r="J30" s="252"/>
      <c r="K30" s="246"/>
      <c r="L30" s="21">
        <f>IF($H30=0,0,IF($H30&lt;$N$4,IF($K30=$N$4,IF($J30&lt;10,$J30,9),9))+IF($H30=$N$4,IF($K30=$N$4,IF($J30&lt;10,$J30-$G30+1,9-$G30+1))+IF($H30=$N$4,IF($K30=0,IF($G30&lt;10,9-$G30+1,0),0))))</f>
        <v>0</v>
      </c>
      <c r="M30" s="21">
        <v>12</v>
      </c>
      <c r="N30" s="245">
        <v>352160000</v>
      </c>
      <c r="O30" s="245">
        <v>0</v>
      </c>
      <c r="P30" s="245">
        <v>0</v>
      </c>
      <c r="Q30" s="245">
        <v>0</v>
      </c>
      <c r="R30" s="245">
        <v>352160000</v>
      </c>
      <c r="S30" s="248"/>
      <c r="T30" s="224"/>
    </row>
    <row r="31" spans="1:20" s="4" customFormat="1" ht="25.2" customHeight="1" x14ac:dyDescent="0.3">
      <c r="A31" s="245">
        <f t="shared" si="1"/>
        <v>1</v>
      </c>
      <c r="B31" s="246">
        <v>1482294</v>
      </c>
      <c r="C31" s="247" t="s">
        <v>171</v>
      </c>
      <c r="D31" s="252"/>
      <c r="E31" s="273" t="s">
        <v>183</v>
      </c>
      <c r="F31" s="250">
        <v>1</v>
      </c>
      <c r="G31" s="250">
        <v>10</v>
      </c>
      <c r="H31" s="251">
        <v>2011</v>
      </c>
      <c r="I31" s="252">
        <v>30</v>
      </c>
      <c r="J31" s="252">
        <v>9</v>
      </c>
      <c r="K31" s="246">
        <v>2025</v>
      </c>
      <c r="L31" s="21">
        <f>IF($H31=0,0,IF($H31&lt;$N$4,IF($K31=$N$4,IF($J31&lt;10,$J31,9),9))+IF($H31=$N$4,IF($K31=$N$4,IF($J31&lt;10,$J31-$G31+1,9-$G31+1))+IF($H31=$N$4,IF($K31=0,IF($G31&lt;10,9-$G31+1,0),0))))</f>
        <v>0</v>
      </c>
      <c r="M31" s="21">
        <v>9</v>
      </c>
      <c r="N31" s="245">
        <v>182000000</v>
      </c>
      <c r="O31" s="245">
        <v>0</v>
      </c>
      <c r="P31" s="245">
        <v>0</v>
      </c>
      <c r="Q31" s="245">
        <v>0</v>
      </c>
      <c r="R31" s="245">
        <v>182000000</v>
      </c>
      <c r="S31" s="248"/>
      <c r="T31" s="224"/>
    </row>
    <row r="32" spans="1:20" s="4" customFormat="1" ht="25.2" customHeight="1" x14ac:dyDescent="0.3">
      <c r="A32" s="245">
        <f t="shared" si="1"/>
        <v>1</v>
      </c>
      <c r="B32" s="246">
        <v>1537976</v>
      </c>
      <c r="C32" s="247" t="s">
        <v>169</v>
      </c>
      <c r="D32" s="252"/>
      <c r="E32" s="273" t="s">
        <v>184</v>
      </c>
      <c r="F32" s="250">
        <v>1</v>
      </c>
      <c r="G32" s="250">
        <v>10</v>
      </c>
      <c r="H32" s="251">
        <v>2025</v>
      </c>
      <c r="I32" s="252"/>
      <c r="J32" s="252"/>
      <c r="K32" s="246"/>
      <c r="L32" s="21">
        <f>IF($H32=0,0,IF($H32&lt;$N$4,IF($K32=$N$4,IF($J32&lt;10,$J32,9),9))+IF($H32=$N$4,IF($K32=$N$4,IF($J32&lt;10,$J32-$G32+1,9-$G32+1))+IF($H32=$N$4,IF($K32=0,IF($G32&lt;10,9-$G32+1,0),0))))</f>
        <v>0</v>
      </c>
      <c r="M32" s="21">
        <v>12</v>
      </c>
      <c r="N32" s="245">
        <v>166575000</v>
      </c>
      <c r="O32" s="245">
        <v>0</v>
      </c>
      <c r="P32" s="245">
        <v>0</v>
      </c>
      <c r="Q32" s="245">
        <v>0</v>
      </c>
      <c r="R32" s="245">
        <v>166575000</v>
      </c>
      <c r="S32" s="248"/>
      <c r="T32" s="224"/>
    </row>
    <row r="33" spans="1:20" s="4" customFormat="1" ht="25.2" customHeight="1" x14ac:dyDescent="0.3">
      <c r="A33" s="245">
        <f t="shared" si="1"/>
        <v>1</v>
      </c>
      <c r="B33" s="246">
        <v>1571736</v>
      </c>
      <c r="C33" s="247" t="s">
        <v>171</v>
      </c>
      <c r="D33" s="252"/>
      <c r="E33" s="273" t="s">
        <v>185</v>
      </c>
      <c r="F33" s="250">
        <v>1</v>
      </c>
      <c r="G33" s="250">
        <v>10</v>
      </c>
      <c r="H33" s="251">
        <v>2021</v>
      </c>
      <c r="I33" s="252">
        <v>30</v>
      </c>
      <c r="J33" s="252">
        <v>9</v>
      </c>
      <c r="K33" s="246">
        <v>2025</v>
      </c>
      <c r="L33" s="21">
        <f>IF($H33=0,0,IF($H33&lt;$N$4,IF($K33=$N$4,IF($J33&lt;10,$J33,9),9))+IF($H33=$N$4,IF($K33=$N$4,IF($J33&lt;10,$J33-$G33+1,9-$G33+1))+IF($H33=$N$4,IF($K33=0,IF($G33&lt;10,9-$G33+1,0),0))))</f>
        <v>0</v>
      </c>
      <c r="M33" s="21">
        <v>9</v>
      </c>
      <c r="N33" s="245">
        <v>182000000</v>
      </c>
      <c r="O33" s="245">
        <v>0</v>
      </c>
      <c r="P33" s="245">
        <v>0</v>
      </c>
      <c r="Q33" s="245">
        <v>0</v>
      </c>
      <c r="R33" s="245">
        <v>182000000</v>
      </c>
      <c r="S33" s="248"/>
      <c r="T33" s="224"/>
    </row>
    <row r="34" spans="1:20" s="4" customFormat="1" ht="25.2" customHeight="1" x14ac:dyDescent="0.3">
      <c r="A34" s="245">
        <f t="shared" si="1"/>
        <v>1</v>
      </c>
      <c r="B34" s="246">
        <v>1579181</v>
      </c>
      <c r="C34" s="247" t="s">
        <v>172</v>
      </c>
      <c r="D34" s="252"/>
      <c r="E34" s="273" t="s">
        <v>186</v>
      </c>
      <c r="F34" s="250">
        <v>1</v>
      </c>
      <c r="G34" s="250">
        <v>10</v>
      </c>
      <c r="H34" s="251">
        <v>2016</v>
      </c>
      <c r="I34" s="252"/>
      <c r="J34" s="252"/>
      <c r="K34" s="246"/>
      <c r="L34" s="21">
        <f>IF($H34=0,0,IF($H34&lt;$N$4,IF($K34=$N$4,IF($J34&lt;10,$J34,9),9))+IF($H34=$N$4,IF($K34=$N$4,IF($J34&lt;10,$J34-$G34+1,9-$G34+1))+IF($H34=$N$4,IF($K34=0,IF($G34&lt;10,9-$G34+1,0),0))))</f>
        <v>0</v>
      </c>
      <c r="M34" s="21">
        <v>12</v>
      </c>
      <c r="N34" s="245">
        <v>351395000</v>
      </c>
      <c r="O34" s="245">
        <v>0</v>
      </c>
      <c r="P34" s="245">
        <v>0</v>
      </c>
      <c r="Q34" s="245">
        <v>0</v>
      </c>
      <c r="R34" s="245">
        <v>351395000</v>
      </c>
      <c r="S34" s="248"/>
      <c r="T34" s="224"/>
    </row>
    <row r="35" spans="1:20" s="4" customFormat="1" ht="25.2" customHeight="1" x14ac:dyDescent="0.3">
      <c r="A35" s="245">
        <f t="shared" si="1"/>
        <v>1</v>
      </c>
      <c r="B35" s="246">
        <v>1619057</v>
      </c>
      <c r="C35" s="247" t="s">
        <v>140</v>
      </c>
      <c r="D35" s="252"/>
      <c r="E35" s="273" t="s">
        <v>187</v>
      </c>
      <c r="F35" s="250">
        <v>1</v>
      </c>
      <c r="G35" s="250">
        <v>10</v>
      </c>
      <c r="H35" s="251">
        <v>2021</v>
      </c>
      <c r="I35" s="252">
        <v>30</v>
      </c>
      <c r="J35" s="252">
        <v>9</v>
      </c>
      <c r="K35" s="246">
        <v>2025</v>
      </c>
      <c r="L35" s="261">
        <f>IF($H35=0,0,IF($H35&lt;$N$4,IF($K35=$N$4,IF($J35&lt;10,$J35,9),9))+IF($H35=$N$4,IF($K35=$N$4,IF($J35&lt;10,$J35-$G35+1,9-$G35+1))+IF($H35=$N$4,IF($K35=0,IF($G35&lt;10,9-$G35+1,0),0))))</f>
        <v>0</v>
      </c>
      <c r="M35" s="21">
        <v>9</v>
      </c>
      <c r="N35" s="245">
        <v>182000000</v>
      </c>
      <c r="O35" s="245">
        <v>0</v>
      </c>
      <c r="P35" s="245">
        <v>0</v>
      </c>
      <c r="Q35" s="245">
        <v>0</v>
      </c>
      <c r="R35" s="245">
        <v>182000000</v>
      </c>
      <c r="S35" s="248"/>
      <c r="T35" s="224"/>
    </row>
    <row r="36" spans="1:20" s="255" customFormat="1" ht="25.2" customHeight="1" x14ac:dyDescent="0.3">
      <c r="A36" s="245">
        <f>IF(R36=0,0,1)</f>
        <v>1</v>
      </c>
      <c r="B36" s="262">
        <v>1718010</v>
      </c>
      <c r="C36" s="263" t="s">
        <v>171</v>
      </c>
      <c r="D36" s="252"/>
      <c r="E36" s="273" t="s">
        <v>188</v>
      </c>
      <c r="F36" s="250">
        <v>1</v>
      </c>
      <c r="G36" s="250">
        <v>10</v>
      </c>
      <c r="H36" s="251">
        <v>2023</v>
      </c>
      <c r="I36" s="246"/>
      <c r="J36" s="246"/>
      <c r="K36" s="246"/>
      <c r="L36" s="21">
        <f>IF($H36=0,0,IF($H36&lt;$N$4,IF($K36=$N$4,IF($J36&lt;10,$J36,9),9))+IF($H36=$N$4,IF($K36=$N$4,IF($J36&lt;10,$J36-$G36+1,9-$G36+1))+IF($H36=$N$4,IF($K36=0,IF($G36&lt;10,9-$G36+1,0),0))))</f>
        <v>0</v>
      </c>
      <c r="M36" s="21">
        <v>12</v>
      </c>
      <c r="N36" s="245">
        <v>347495000</v>
      </c>
      <c r="O36" s="245">
        <v>0</v>
      </c>
      <c r="P36" s="245">
        <v>0</v>
      </c>
      <c r="Q36" s="245">
        <v>0</v>
      </c>
      <c r="R36" s="245">
        <v>347495000</v>
      </c>
      <c r="S36" s="248"/>
      <c r="T36" s="224"/>
    </row>
    <row r="37" spans="1:20" s="4" customFormat="1" ht="25.2" customHeight="1" x14ac:dyDescent="0.3">
      <c r="A37" s="245">
        <f t="shared" si="1"/>
        <v>1</v>
      </c>
      <c r="B37" s="246">
        <v>1820741</v>
      </c>
      <c r="C37" s="247" t="s">
        <v>173</v>
      </c>
      <c r="D37" s="252"/>
      <c r="E37" s="273" t="s">
        <v>189</v>
      </c>
      <c r="F37" s="250">
        <v>1</v>
      </c>
      <c r="G37" s="250">
        <v>10</v>
      </c>
      <c r="H37" s="251">
        <v>2018</v>
      </c>
      <c r="I37" s="252"/>
      <c r="J37" s="252"/>
      <c r="K37" s="246"/>
      <c r="L37" s="21">
        <f>IF($H37=0,0,IF($H37&lt;$N$4,IF($K37=$N$4,IF($J37&lt;10,$J37,9),9))+IF($H37=$N$4,IF($K37=$N$4,IF($J37&lt;10,$J37-$G37+1,9-$G37+1))+IF($H37=$N$4,IF($K37=0,IF($G37&lt;10,9-$G37+1,0),0))))</f>
        <v>0</v>
      </c>
      <c r="M37" s="21">
        <v>12</v>
      </c>
      <c r="N37" s="245">
        <v>350915000</v>
      </c>
      <c r="O37" s="245">
        <v>0</v>
      </c>
      <c r="P37" s="245">
        <v>0</v>
      </c>
      <c r="Q37" s="245">
        <v>0</v>
      </c>
      <c r="R37" s="245">
        <v>350915000</v>
      </c>
      <c r="S37" s="248"/>
      <c r="T37" s="224"/>
    </row>
    <row r="38" spans="1:20" s="4" customFormat="1" ht="25.2" customHeight="1" x14ac:dyDescent="0.3">
      <c r="A38" s="245">
        <f t="shared" si="1"/>
        <v>1</v>
      </c>
      <c r="B38" s="246">
        <v>1827099</v>
      </c>
      <c r="C38" s="247" t="s">
        <v>174</v>
      </c>
      <c r="D38" s="252"/>
      <c r="E38" s="273" t="s">
        <v>190</v>
      </c>
      <c r="F38" s="250">
        <v>1</v>
      </c>
      <c r="G38" s="250">
        <v>10</v>
      </c>
      <c r="H38" s="251">
        <v>2018</v>
      </c>
      <c r="I38" s="252"/>
      <c r="J38" s="252"/>
      <c r="K38" s="246"/>
      <c r="L38" s="21">
        <f>IF($H38=0,0,IF($H38&lt;$N$4,IF($K38=$N$4,IF($J38&lt;10,$J38,9),9))+IF($H38=$N$4,IF($K38=$N$4,IF($J38&lt;10,$J38-$G38+1,9-$G38+1))+IF($H38=$N$4,IF($K38=0,IF($G38&lt;10,9-$G38+1,0),0))))</f>
        <v>0</v>
      </c>
      <c r="M38" s="21">
        <v>12</v>
      </c>
      <c r="N38" s="245">
        <v>281075000</v>
      </c>
      <c r="O38" s="245">
        <v>0</v>
      </c>
      <c r="P38" s="245">
        <v>0</v>
      </c>
      <c r="Q38" s="245">
        <v>0</v>
      </c>
      <c r="R38" s="245">
        <v>281075000</v>
      </c>
      <c r="S38" s="248"/>
      <c r="T38" s="224"/>
    </row>
    <row r="39" spans="1:20" s="255" customFormat="1" ht="25.2" customHeight="1" x14ac:dyDescent="0.3">
      <c r="A39" s="245">
        <f>IF(R39=0,0,1)</f>
        <v>1</v>
      </c>
      <c r="B39" s="246">
        <v>1900939</v>
      </c>
      <c r="C39" s="247" t="s">
        <v>175</v>
      </c>
      <c r="D39" s="252"/>
      <c r="E39" s="273" t="s">
        <v>191</v>
      </c>
      <c r="F39" s="250">
        <v>1</v>
      </c>
      <c r="G39" s="250">
        <v>10</v>
      </c>
      <c r="H39" s="251">
        <v>2024</v>
      </c>
      <c r="I39" s="252"/>
      <c r="J39" s="252"/>
      <c r="K39" s="246"/>
      <c r="L39" s="21">
        <f>IF($H39=0,0,IF($H39&lt;$N$4,IF($K39=$N$4,IF($J39&lt;10,$J39,9),9))+IF($H39=$N$4,IF($K39=$N$4,IF($J39&lt;10,$J39-$G39+1,9-$G39+1))+IF($H39=$N$4,IF($K39=0,IF($G39&lt;10,9-$G39+1,0),0))))</f>
        <v>0</v>
      </c>
      <c r="M39" s="21">
        <v>12</v>
      </c>
      <c r="N39" s="245">
        <v>306575000</v>
      </c>
      <c r="O39" s="245">
        <v>0</v>
      </c>
      <c r="P39" s="245">
        <v>0</v>
      </c>
      <c r="Q39" s="245">
        <v>0</v>
      </c>
      <c r="R39" s="245">
        <v>306575000</v>
      </c>
      <c r="S39" s="248"/>
      <c r="T39" s="224"/>
    </row>
    <row r="40" spans="1:20" s="4" customFormat="1" ht="25.2" customHeight="1" x14ac:dyDescent="0.3">
      <c r="A40" s="245">
        <f t="shared" si="1"/>
        <v>1</v>
      </c>
      <c r="B40" s="246">
        <v>1924226</v>
      </c>
      <c r="C40" s="247" t="s">
        <v>176</v>
      </c>
      <c r="D40" s="252"/>
      <c r="E40" s="273" t="s">
        <v>192</v>
      </c>
      <c r="F40" s="250">
        <v>1</v>
      </c>
      <c r="G40" s="250">
        <v>10</v>
      </c>
      <c r="H40" s="251">
        <v>2021</v>
      </c>
      <c r="I40" s="252"/>
      <c r="J40" s="252"/>
      <c r="K40" s="246"/>
      <c r="L40" s="21">
        <f>IF($H40=0,0,IF($H40&lt;$N$4,IF($K40=$N$4,IF($J40&lt;10,$J40,9),9))+IF($H40=$N$4,IF($K40=$N$4,IF($J40&lt;10,$J40-$G40+1,9-$G40+1))+IF($H40=$N$4,IF($K40=0,IF($G40&lt;10,9-$G40+1,0),0))))</f>
        <v>0</v>
      </c>
      <c r="M40" s="21">
        <v>12</v>
      </c>
      <c r="N40" s="245">
        <v>349445000</v>
      </c>
      <c r="O40" s="245">
        <v>0</v>
      </c>
      <c r="P40" s="245">
        <v>0</v>
      </c>
      <c r="Q40" s="245">
        <v>0</v>
      </c>
      <c r="R40" s="245">
        <v>349445000</v>
      </c>
      <c r="S40" s="248"/>
      <c r="T40" s="224"/>
    </row>
    <row r="41" spans="1:20" s="4" customFormat="1" ht="25.2" customHeight="1" x14ac:dyDescent="0.3">
      <c r="A41" s="245">
        <f t="shared" si="1"/>
        <v>1</v>
      </c>
      <c r="B41" s="246">
        <v>1924232</v>
      </c>
      <c r="C41" s="247" t="s">
        <v>176</v>
      </c>
      <c r="D41" s="252"/>
      <c r="E41" s="273" t="s">
        <v>193</v>
      </c>
      <c r="F41" s="250">
        <v>1</v>
      </c>
      <c r="G41" s="250">
        <v>10</v>
      </c>
      <c r="H41" s="251">
        <v>2021</v>
      </c>
      <c r="I41" s="250"/>
      <c r="J41" s="250"/>
      <c r="K41" s="250"/>
      <c r="L41" s="21">
        <f>IF($H41=0,0,IF($H41&lt;$N$4,IF($K41=$N$4,IF($J41&lt;10,$J41,9),9))+IF($H41=$N$4,IF($K41=$N$4,IF($J41&lt;10,$J41-$G41+1,9-$G41+1))+IF($H41=$N$4,IF($K41=0,IF($G41&lt;10,9-$G41+1,0),0))))</f>
        <v>0</v>
      </c>
      <c r="M41" s="21">
        <v>12</v>
      </c>
      <c r="N41" s="245">
        <v>350255000</v>
      </c>
      <c r="O41" s="245">
        <v>0</v>
      </c>
      <c r="P41" s="245">
        <v>0</v>
      </c>
      <c r="Q41" s="245">
        <v>0</v>
      </c>
      <c r="R41" s="245">
        <v>350255000</v>
      </c>
      <c r="S41" s="248"/>
      <c r="T41" s="224"/>
    </row>
    <row r="42" spans="1:20" s="4" customFormat="1" ht="25.2" customHeight="1" x14ac:dyDescent="0.3">
      <c r="A42" s="245">
        <f t="shared" si="1"/>
        <v>1</v>
      </c>
      <c r="B42" s="246">
        <v>1934462</v>
      </c>
      <c r="C42" s="247" t="s">
        <v>177</v>
      </c>
      <c r="D42" s="252"/>
      <c r="E42" s="273" t="s">
        <v>194</v>
      </c>
      <c r="F42" s="250">
        <v>1</v>
      </c>
      <c r="G42" s="250">
        <v>10</v>
      </c>
      <c r="H42" s="251">
        <v>2024</v>
      </c>
      <c r="I42" s="250">
        <v>30</v>
      </c>
      <c r="J42" s="250">
        <v>9</v>
      </c>
      <c r="K42" s="250">
        <v>2025</v>
      </c>
      <c r="L42" s="21">
        <f>IF($H42=0,0,IF($H42&lt;$N$4,IF($K42=$N$4,IF($J42&lt;10,$J42,9),9))+IF($H42=$N$4,IF($K42=$N$4,IF($J42&lt;10,$J42-$G42+1,9-$G42+1))+IF($H42=$N$4,IF($K42=0,IF($G42&lt;10,9-$G42+1,0),0))))</f>
        <v>0</v>
      </c>
      <c r="M42" s="21">
        <v>9</v>
      </c>
      <c r="N42" s="245">
        <v>182000000</v>
      </c>
      <c r="O42" s="245">
        <v>0</v>
      </c>
      <c r="P42" s="245">
        <v>0</v>
      </c>
      <c r="Q42" s="245">
        <v>0</v>
      </c>
      <c r="R42" s="245">
        <v>182000000</v>
      </c>
      <c r="S42" s="248"/>
      <c r="T42" s="224"/>
    </row>
    <row r="43" spans="1:20" s="253" customFormat="1" ht="25.2" customHeight="1" x14ac:dyDescent="0.3">
      <c r="A43" s="245">
        <f t="shared" si="1"/>
        <v>1</v>
      </c>
      <c r="B43" s="246">
        <v>1950217</v>
      </c>
      <c r="C43" s="247" t="s">
        <v>178</v>
      </c>
      <c r="D43" s="252"/>
      <c r="E43" s="273" t="s">
        <v>195</v>
      </c>
      <c r="F43" s="250">
        <v>1</v>
      </c>
      <c r="G43" s="250">
        <v>12</v>
      </c>
      <c r="H43" s="251">
        <v>2022</v>
      </c>
      <c r="I43" s="250"/>
      <c r="J43" s="250"/>
      <c r="K43" s="250"/>
      <c r="L43" s="21">
        <f>IF($H43=0,0,IF($H43&lt;$N$4,IF($K43=$N$4,IF($J43&lt;10,$J43,9),9))+IF($H43=$N$4,IF($K43=$N$4,IF($J43&lt;10,$J43-$G43+1,9-$G43+1))+IF($H43=$N$4,IF($K43=0,IF($G43&lt;10,9-$G43+1,0),0))))</f>
        <v>0</v>
      </c>
      <c r="M43" s="21">
        <v>12</v>
      </c>
      <c r="N43" s="245">
        <v>349265000</v>
      </c>
      <c r="O43" s="245">
        <v>0</v>
      </c>
      <c r="P43" s="245">
        <v>0</v>
      </c>
      <c r="Q43" s="245">
        <v>0</v>
      </c>
      <c r="R43" s="245">
        <v>349265000</v>
      </c>
      <c r="S43" s="248"/>
      <c r="T43" s="224"/>
    </row>
    <row r="44" spans="1:20" s="253" customFormat="1" ht="25.2" customHeight="1" x14ac:dyDescent="0.3">
      <c r="A44" s="245">
        <f>IF(R44=0,0,1)</f>
        <v>1</v>
      </c>
      <c r="B44" s="246">
        <v>1983771</v>
      </c>
      <c r="C44" s="247" t="s">
        <v>169</v>
      </c>
      <c r="D44" s="252"/>
      <c r="E44" s="273" t="s">
        <v>196</v>
      </c>
      <c r="F44" s="250">
        <v>1</v>
      </c>
      <c r="G44" s="250">
        <v>10</v>
      </c>
      <c r="H44" s="251">
        <v>2023</v>
      </c>
      <c r="I44" s="252"/>
      <c r="J44" s="252"/>
      <c r="K44" s="246"/>
      <c r="L44" s="21">
        <f>IF($H44=0,0,IF($H44&lt;$N$4,IF($K44=$N$4,IF($J44&lt;10,$J44,9),9))+IF($H44=$N$4,IF($K44=$N$4,IF($J44&lt;10,$J44-$G44+1,9-$G44+1))+IF($H44=$N$4,IF($K44=0,IF($G44&lt;10,9-$G44+1,0),0))))</f>
        <v>0</v>
      </c>
      <c r="M44" s="21">
        <v>12</v>
      </c>
      <c r="N44" s="245">
        <v>314375000</v>
      </c>
      <c r="O44" s="245">
        <v>0</v>
      </c>
      <c r="P44" s="245">
        <v>0</v>
      </c>
      <c r="Q44" s="245">
        <v>0</v>
      </c>
      <c r="R44" s="245">
        <v>314375000</v>
      </c>
      <c r="S44" s="248"/>
      <c r="T44" s="224"/>
    </row>
    <row r="45" spans="1:20" s="253" customFormat="1" ht="25.2" customHeight="1" x14ac:dyDescent="0.3">
      <c r="A45" s="245">
        <f t="shared" si="1"/>
        <v>1</v>
      </c>
      <c r="B45" s="246">
        <v>2014422</v>
      </c>
      <c r="C45" s="247" t="s">
        <v>179</v>
      </c>
      <c r="D45" s="252"/>
      <c r="E45" s="273" t="s">
        <v>197</v>
      </c>
      <c r="F45" s="250">
        <v>1</v>
      </c>
      <c r="G45" s="250">
        <v>10</v>
      </c>
      <c r="H45" s="251">
        <v>2024</v>
      </c>
      <c r="I45" s="250">
        <v>30</v>
      </c>
      <c r="J45" s="250">
        <v>6</v>
      </c>
      <c r="K45" s="250">
        <v>2025</v>
      </c>
      <c r="L45" s="21">
        <f>IF($H45=0,0,IF($H45&lt;$N$4,IF($K45=$N$4,IF($J45&lt;10,$J45,9),9))+IF($H45=$N$4,IF($K45=$N$4,IF($J45&lt;10,$J45-$G45+1,9-$G45+1))+IF($H45=$N$4,IF($K45=0,IF($G45&lt;10,9-$G45+1,0),0))))</f>
        <v>0</v>
      </c>
      <c r="M45" s="21">
        <v>6</v>
      </c>
      <c r="N45" s="245">
        <v>108000000</v>
      </c>
      <c r="O45" s="245">
        <v>0</v>
      </c>
      <c r="P45" s="245">
        <v>0</v>
      </c>
      <c r="Q45" s="245">
        <v>0</v>
      </c>
      <c r="R45" s="245">
        <v>108000000</v>
      </c>
      <c r="S45" s="248"/>
      <c r="T45" s="224"/>
    </row>
    <row r="46" spans="1:20" s="253" customFormat="1" ht="25.2" customHeight="1" x14ac:dyDescent="0.3">
      <c r="A46" s="245">
        <f t="shared" si="1"/>
        <v>0</v>
      </c>
      <c r="B46" s="246"/>
      <c r="C46" s="247"/>
      <c r="D46" s="252"/>
      <c r="E46" s="275"/>
      <c r="F46" s="250"/>
      <c r="G46" s="250"/>
      <c r="H46" s="251"/>
      <c r="I46" s="250"/>
      <c r="J46" s="250"/>
      <c r="K46" s="250"/>
      <c r="L46" s="21">
        <f>IF($H46=0,0,IF($H46&lt;$N$4,IF($K46=$N$4,IF($J46&lt;10,$J46,9),9))+IF($H46=$N$4,IF($K46=$N$4,IF($J46&lt;10,$J46-$G46+1,9-$G46+1))+IF($H46=$N$4,IF($K46=0,IF($G46&lt;10,9-$G46+1,0),0))))</f>
        <v>0</v>
      </c>
      <c r="M46" s="21"/>
      <c r="N46" s="245">
        <v>0</v>
      </c>
      <c r="O46" s="245">
        <v>0</v>
      </c>
      <c r="P46" s="245">
        <v>0</v>
      </c>
      <c r="Q46" s="245">
        <v>0</v>
      </c>
      <c r="R46" s="245">
        <v>0</v>
      </c>
      <c r="S46" s="248"/>
      <c r="T46" s="224"/>
    </row>
    <row r="47" spans="1:20" ht="25.2" customHeight="1" x14ac:dyDescent="0.25">
      <c r="A47" s="256">
        <f>SUM(A28:A46)</f>
        <v>18</v>
      </c>
      <c r="B47" s="257"/>
      <c r="C47" s="258"/>
      <c r="D47" s="256">
        <f>SUM(D28:D46)</f>
        <v>0</v>
      </c>
      <c r="E47" s="259" t="s">
        <v>24</v>
      </c>
      <c r="F47" s="256">
        <f t="shared" ref="F47:R47" si="3">SUM(F28:F46)</f>
        <v>18</v>
      </c>
      <c r="G47" s="256">
        <f t="shared" si="3"/>
        <v>175</v>
      </c>
      <c r="H47" s="256"/>
      <c r="I47" s="256"/>
      <c r="J47" s="256"/>
      <c r="K47" s="256"/>
      <c r="L47" s="256"/>
      <c r="M47" s="256"/>
      <c r="N47" s="256">
        <f t="shared" si="3"/>
        <v>5059850000</v>
      </c>
      <c r="O47" s="256">
        <f t="shared" si="3"/>
        <v>0</v>
      </c>
      <c r="P47" s="256">
        <f t="shared" si="3"/>
        <v>0</v>
      </c>
      <c r="Q47" s="256">
        <f t="shared" si="3"/>
        <v>0</v>
      </c>
      <c r="R47" s="256">
        <f t="shared" si="3"/>
        <v>5059850000</v>
      </c>
      <c r="S47" s="248"/>
    </row>
    <row r="48" spans="1:20" s="4" customFormat="1" ht="25.2" customHeight="1" x14ac:dyDescent="0.3">
      <c r="A48" s="245">
        <f t="shared" si="1"/>
        <v>0</v>
      </c>
      <c r="B48" s="246"/>
      <c r="C48" s="247"/>
      <c r="D48" s="252"/>
      <c r="E48" s="249"/>
      <c r="F48" s="250"/>
      <c r="G48" s="250"/>
      <c r="H48" s="251"/>
      <c r="I48" s="250"/>
      <c r="J48" s="250"/>
      <c r="K48" s="250"/>
      <c r="L48" s="21">
        <f>IF($H48=0,0,IF($H48&lt;$N$4,IF($K48=$N$4,IF($J48&lt;10,$J48,9),9))+IF($H48=$N$4,IF($K48=$N$4,IF($J48&lt;10,$J48-$G48+1,9-$G48+1))+IF($H48=$N$4,IF($K48=0,IF($G48&lt;10,9-$G48+1,0),0))))</f>
        <v>0</v>
      </c>
      <c r="M48" s="21"/>
      <c r="N48" s="245"/>
      <c r="O48" s="245">
        <f>IF($D48=1,IF(($O$4-$C48)&gt;=64,0,$N48),0)</f>
        <v>0</v>
      </c>
      <c r="P48" s="245">
        <f t="shared" ref="P8:P66" si="4">$O48*8.5%</f>
        <v>0</v>
      </c>
      <c r="Q48" s="245">
        <f>IF($D48=1,IF($N48&gt;=180000000,180000000,$N48),0)</f>
        <v>0</v>
      </c>
      <c r="R48" s="245">
        <f t="shared" ref="R48:R66" si="5">IF($N48&gt;=1230000000,1230000000,$N48)</f>
        <v>0</v>
      </c>
      <c r="S48" s="248"/>
      <c r="T48" s="224"/>
    </row>
    <row r="49" spans="1:20" s="253" customFormat="1" ht="25.2" customHeight="1" x14ac:dyDescent="0.3">
      <c r="A49" s="245">
        <f t="shared" si="1"/>
        <v>0</v>
      </c>
      <c r="B49" s="246"/>
      <c r="C49" s="247"/>
      <c r="D49" s="252"/>
      <c r="E49" s="249"/>
      <c r="F49" s="250"/>
      <c r="G49" s="250"/>
      <c r="H49" s="251"/>
      <c r="I49" s="250"/>
      <c r="J49" s="250"/>
      <c r="K49" s="250"/>
      <c r="L49" s="21">
        <f>IF($H49=0,0,IF($H49&lt;$N$4,IF($K49=$N$4,IF($J49&lt;10,$J49,9),9))+IF($H49=$N$4,IF($K49=$N$4,IF($J49&lt;10,$J49-$G49+1,9-$G49+1))+IF($H49=$N$4,IF($K49=0,IF($G49&lt;10,9-$G49+1,0),0))))</f>
        <v>0</v>
      </c>
      <c r="M49" s="21"/>
      <c r="N49" s="245"/>
      <c r="O49" s="245">
        <f>IF($D49=1,IF(($O$4-$C49)&gt;=64,0,$N49),0)</f>
        <v>0</v>
      </c>
      <c r="P49" s="245">
        <f t="shared" si="4"/>
        <v>0</v>
      </c>
      <c r="Q49" s="245">
        <f>IF($D49=1,IF($N49&gt;=180000000,180000000,$N49),0)</f>
        <v>0</v>
      </c>
      <c r="R49" s="245">
        <f t="shared" si="5"/>
        <v>0</v>
      </c>
      <c r="S49" s="248"/>
      <c r="T49" s="224"/>
    </row>
    <row r="50" spans="1:20" s="253" customFormat="1" ht="25.2" customHeight="1" x14ac:dyDescent="0.3">
      <c r="A50" s="245">
        <f t="shared" si="1"/>
        <v>0</v>
      </c>
      <c r="B50" s="246"/>
      <c r="C50" s="247"/>
      <c r="D50" s="252"/>
      <c r="E50" s="249"/>
      <c r="F50" s="252"/>
      <c r="G50" s="252"/>
      <c r="H50" s="251"/>
      <c r="I50" s="250"/>
      <c r="J50" s="250"/>
      <c r="K50" s="250"/>
      <c r="L50" s="21">
        <f>IF($H50=0,0,IF($H50&lt;$N$4,IF($K50=$N$4,IF($J50&lt;10,$J50,9),9))+IF($H50=$N$4,IF($K50=$N$4,IF($J50&lt;10,$J50-$G50+1,9-$G50+1))+IF($H50=$N$4,IF($K50=0,IF($G50&lt;10,9-$G50+1,0),0))))</f>
        <v>0</v>
      </c>
      <c r="M50" s="21"/>
      <c r="N50" s="245"/>
      <c r="O50" s="245">
        <f>IF($D50=1,IF(($O$4-$C50)&gt;=64,0,$N50),0)</f>
        <v>0</v>
      </c>
      <c r="P50" s="245">
        <f t="shared" si="4"/>
        <v>0</v>
      </c>
      <c r="Q50" s="245">
        <f>IF($D50=1,IF($N50&gt;=180000000,180000000,$N50),0)</f>
        <v>0</v>
      </c>
      <c r="R50" s="245">
        <f t="shared" si="5"/>
        <v>0</v>
      </c>
      <c r="S50" s="248"/>
      <c r="T50" s="224"/>
    </row>
    <row r="51" spans="1:20" s="253" customFormat="1" ht="25.2" customHeight="1" x14ac:dyDescent="0.3">
      <c r="A51" s="245">
        <f t="shared" si="1"/>
        <v>0</v>
      </c>
      <c r="B51" s="246"/>
      <c r="C51" s="247"/>
      <c r="D51" s="254"/>
      <c r="E51" s="249"/>
      <c r="F51" s="252"/>
      <c r="G51" s="252"/>
      <c r="H51" s="251"/>
      <c r="I51" s="250"/>
      <c r="J51" s="250"/>
      <c r="K51" s="250"/>
      <c r="L51" s="21">
        <f>IF($H51=0,0,IF($H51&lt;$N$4,IF($K51=$N$4,IF($J51&lt;10,$J51,9),9))+IF($H51=$N$4,IF($K51=$N$4,IF($J51&lt;10,$J51-$G51+1,9-$G51+1))+IF($H51=$N$4,IF($K51=0,IF($G51&lt;10,9-$G51+1,0),0))))</f>
        <v>0</v>
      </c>
      <c r="M51" s="21"/>
      <c r="N51" s="245"/>
      <c r="O51" s="245">
        <f>IF($D51=1,IF(($O$4-$C51)&gt;=64,0,$N51),0)</f>
        <v>0</v>
      </c>
      <c r="P51" s="245">
        <f t="shared" si="4"/>
        <v>0</v>
      </c>
      <c r="Q51" s="245">
        <f>IF($D51=1,IF($N51&gt;=180000000,180000000,$N51),0)</f>
        <v>0</v>
      </c>
      <c r="R51" s="245">
        <f t="shared" si="5"/>
        <v>0</v>
      </c>
      <c r="S51" s="248"/>
      <c r="T51" s="224"/>
    </row>
    <row r="52" spans="1:20" s="4" customFormat="1" ht="25.2" customHeight="1" x14ac:dyDescent="0.3">
      <c r="A52" s="245">
        <f t="shared" si="1"/>
        <v>0</v>
      </c>
      <c r="B52" s="246"/>
      <c r="C52" s="247"/>
      <c r="D52" s="252"/>
      <c r="E52" s="249"/>
      <c r="F52" s="252"/>
      <c r="G52" s="252"/>
      <c r="H52" s="251"/>
      <c r="I52" s="250"/>
      <c r="J52" s="250"/>
      <c r="K52" s="250"/>
      <c r="L52" s="21">
        <f>IF($H52=0,0,IF($H52&lt;$N$4,IF($K52=$N$4,IF($J52&lt;10,$J52,9),9))+IF($H52=$N$4,IF($K52=$N$4,IF($J52&lt;10,$J52-$G52+1,9-$G52+1))+IF($H52=$N$4,IF($K52=0,IF($G52&lt;10,9-$G52+1,0),0))))</f>
        <v>0</v>
      </c>
      <c r="M52" s="21"/>
      <c r="N52" s="245"/>
      <c r="O52" s="245">
        <f>IF($D52=1,IF(($O$4-$C52)&gt;=64,0,$N52),0)</f>
        <v>0</v>
      </c>
      <c r="P52" s="245">
        <f t="shared" si="4"/>
        <v>0</v>
      </c>
      <c r="Q52" s="245">
        <f>IF($D52=1,IF($N52&gt;=180000000,180000000,$N52),0)</f>
        <v>0</v>
      </c>
      <c r="R52" s="245">
        <f t="shared" si="5"/>
        <v>0</v>
      </c>
      <c r="S52" s="248"/>
      <c r="T52" s="224"/>
    </row>
    <row r="53" spans="1:20" ht="25.2" customHeight="1" x14ac:dyDescent="0.3">
      <c r="A53" s="245">
        <f>IF(R53=0,0,1)</f>
        <v>0</v>
      </c>
      <c r="B53" s="246"/>
      <c r="C53" s="247"/>
      <c r="D53" s="252"/>
      <c r="E53" s="249"/>
      <c r="F53" s="250"/>
      <c r="G53" s="250"/>
      <c r="H53" s="251"/>
      <c r="I53" s="252"/>
      <c r="J53" s="252"/>
      <c r="K53" s="246"/>
      <c r="L53" s="21">
        <f>IF($H53=0,0,IF($H53&lt;$N$4,IF($K53=$N$4,IF($J53&lt;10,$J53,9),9))+IF($H53=$N$4,IF($K53=$N$4,IF($J53&lt;10,$J53-$G53+1,9-$G53+1))+IF($H53=$N$4,IF($K53=0,IF($G53&lt;10,9-$G53+1,0),0))))</f>
        <v>0</v>
      </c>
      <c r="M53" s="21"/>
      <c r="N53" s="245"/>
      <c r="O53" s="245">
        <f>IF($D53=1,IF(($O$4-$C53)&gt;=64,0,$N53),0)</f>
        <v>0</v>
      </c>
      <c r="P53" s="245">
        <f t="shared" si="4"/>
        <v>0</v>
      </c>
      <c r="Q53" s="245">
        <f>IF($D53=1,IF($N53&gt;=180000000,180000000,$N53),0)</f>
        <v>0</v>
      </c>
      <c r="R53" s="245">
        <f t="shared" si="5"/>
        <v>0</v>
      </c>
      <c r="S53" s="248"/>
    </row>
    <row r="54" spans="1:20" ht="25.2" customHeight="1" x14ac:dyDescent="0.3">
      <c r="A54" s="245">
        <f t="shared" si="1"/>
        <v>0</v>
      </c>
      <c r="B54" s="246"/>
      <c r="C54" s="247"/>
      <c r="D54" s="252"/>
      <c r="E54" s="249"/>
      <c r="F54" s="252"/>
      <c r="G54" s="252"/>
      <c r="H54" s="251"/>
      <c r="I54" s="252"/>
      <c r="J54" s="252"/>
      <c r="K54" s="246"/>
      <c r="L54" s="21">
        <f>IF($H54=0,0,IF($H54&lt;$N$4,IF($K54=$N$4,IF($J54&lt;10,$J54,9),9))+IF($H54=$N$4,IF($K54=$N$4,IF($J54&lt;10,$J54-$G54+1,9-$G54+1))+IF($H54=$N$4,IF($K54=0,IF($G54&lt;10,9-$G54+1,0),0))))</f>
        <v>0</v>
      </c>
      <c r="M54" s="21"/>
      <c r="N54" s="245"/>
      <c r="O54" s="245">
        <f>IF($D54=1,IF(($O$4-$C54)&gt;=64,0,$N54),0)</f>
        <v>0</v>
      </c>
      <c r="P54" s="245">
        <f t="shared" si="4"/>
        <v>0</v>
      </c>
      <c r="Q54" s="245">
        <f>IF($D54=1,IF($N54&gt;=180000000,180000000,$N54),0)</f>
        <v>0</v>
      </c>
      <c r="R54" s="245">
        <f t="shared" si="5"/>
        <v>0</v>
      </c>
      <c r="S54" s="248"/>
    </row>
    <row r="55" spans="1:20" s="4" customFormat="1" ht="25.2" customHeight="1" x14ac:dyDescent="0.3">
      <c r="A55" s="245">
        <f t="shared" si="1"/>
        <v>0</v>
      </c>
      <c r="B55" s="246"/>
      <c r="C55" s="247"/>
      <c r="D55" s="252"/>
      <c r="E55" s="249"/>
      <c r="F55" s="252"/>
      <c r="G55" s="252"/>
      <c r="H55" s="251"/>
      <c r="I55" s="252"/>
      <c r="J55" s="252"/>
      <c r="K55" s="246"/>
      <c r="L55" s="21">
        <f>IF($H55=0,0,IF($H55&lt;$N$4,IF($K55=$N$4,IF($J55&lt;10,$J55,9),9))+IF($H55=$N$4,IF($K55=$N$4,IF($J55&lt;10,$J55-$G55+1,9-$G55+1))+IF($H55=$N$4,IF($K55=0,IF($G55&lt;10,9-$G55+1,0),0))))</f>
        <v>0</v>
      </c>
      <c r="M55" s="21"/>
      <c r="N55" s="245"/>
      <c r="O55" s="245">
        <f>IF($D55=1,IF(($O$4-$C55)&gt;=64,0,$N55),0)</f>
        <v>0</v>
      </c>
      <c r="P55" s="245">
        <f t="shared" si="4"/>
        <v>0</v>
      </c>
      <c r="Q55" s="245">
        <f>IF($D55=1,IF($N55&gt;=180000000,180000000,$N55),0)</f>
        <v>0</v>
      </c>
      <c r="R55" s="245">
        <f t="shared" si="5"/>
        <v>0</v>
      </c>
      <c r="S55" s="248"/>
      <c r="T55" s="224"/>
    </row>
    <row r="56" spans="1:20" s="4" customFormat="1" ht="25.2" customHeight="1" x14ac:dyDescent="0.3">
      <c r="A56" s="245">
        <f t="shared" si="1"/>
        <v>0</v>
      </c>
      <c r="B56" s="246"/>
      <c r="C56" s="247"/>
      <c r="D56" s="252"/>
      <c r="E56" s="249"/>
      <c r="F56" s="252"/>
      <c r="G56" s="252"/>
      <c r="H56" s="251"/>
      <c r="I56" s="252"/>
      <c r="J56" s="252"/>
      <c r="K56" s="246"/>
      <c r="L56" s="21">
        <f>IF($H56=0,0,IF($H56&lt;$N$4,IF($K56=$N$4,IF($J56&lt;10,$J56,9),9))+IF($H56=$N$4,IF($K56=$N$4,IF($J56&lt;10,$J56-$G56+1,9-$G56+1))+IF($H56=$N$4,IF($K56=0,IF($G56&lt;10,9-$G56+1,0),0))))</f>
        <v>0</v>
      </c>
      <c r="M56" s="21"/>
      <c r="N56" s="245"/>
      <c r="O56" s="245">
        <f>IF($D56=1,IF(($O$4-$C56)&gt;=64,0,$N56),0)</f>
        <v>0</v>
      </c>
      <c r="P56" s="245">
        <f t="shared" si="4"/>
        <v>0</v>
      </c>
      <c r="Q56" s="245">
        <f>IF($D56=1,IF($N56&gt;=180000000,180000000,$N56),0)</f>
        <v>0</v>
      </c>
      <c r="R56" s="245">
        <f t="shared" si="5"/>
        <v>0</v>
      </c>
      <c r="S56" s="248"/>
      <c r="T56" s="224"/>
    </row>
    <row r="57" spans="1:20" s="4" customFormat="1" ht="25.2" customHeight="1" x14ac:dyDescent="0.3">
      <c r="A57" s="245">
        <f t="shared" si="1"/>
        <v>0</v>
      </c>
      <c r="B57" s="247"/>
      <c r="C57" s="247"/>
      <c r="D57" s="252"/>
      <c r="E57" s="249"/>
      <c r="F57" s="252"/>
      <c r="G57" s="252"/>
      <c r="H57" s="251"/>
      <c r="I57" s="252"/>
      <c r="J57" s="252"/>
      <c r="K57" s="246"/>
      <c r="L57" s="21">
        <f>IF($H57=0,0,IF($H57&lt;$N$4,IF($K57=$N$4,IF($J57&lt;10,$J57,9),9))+IF($H57=$N$4,IF($K57=$N$4,IF($J57&lt;10,$J57-$G57+1,9-$G57+1))+IF($H57=$N$4,IF($K57=0,IF($G57&lt;10,9-$G57+1,0),0))))</f>
        <v>0</v>
      </c>
      <c r="M57" s="21"/>
      <c r="N57" s="245"/>
      <c r="O57" s="245">
        <f>IF($D57=1,IF(($O$4-$C57)&gt;=64,0,$N57),0)</f>
        <v>0</v>
      </c>
      <c r="P57" s="245">
        <f t="shared" si="4"/>
        <v>0</v>
      </c>
      <c r="Q57" s="245">
        <f>IF($D57=1,IF($N57&gt;=180000000,180000000,$N57),0)</f>
        <v>0</v>
      </c>
      <c r="R57" s="245">
        <f t="shared" si="5"/>
        <v>0</v>
      </c>
      <c r="S57" s="248"/>
      <c r="T57" s="224"/>
    </row>
    <row r="58" spans="1:20" s="4" customFormat="1" ht="25.2" customHeight="1" x14ac:dyDescent="0.3">
      <c r="A58" s="245">
        <f t="shared" si="1"/>
        <v>0</v>
      </c>
      <c r="B58" s="246"/>
      <c r="C58" s="247"/>
      <c r="D58" s="252"/>
      <c r="E58" s="249"/>
      <c r="F58" s="252"/>
      <c r="G58" s="252"/>
      <c r="H58" s="251"/>
      <c r="I58" s="252"/>
      <c r="J58" s="252"/>
      <c r="K58" s="246"/>
      <c r="L58" s="21">
        <f>IF($H58=0,0,IF($H58&lt;$N$4,IF($K58=$N$4,IF($J58&lt;10,$J58,9),9))+IF($H58=$N$4,IF($K58=$N$4,IF($J58&lt;10,$J58-$G58+1,9-$G58+1))+IF($H58=$N$4,IF($K58=0,IF($G58&lt;10,9-$G58+1,0),0))))</f>
        <v>0</v>
      </c>
      <c r="M58" s="21"/>
      <c r="N58" s="245"/>
      <c r="O58" s="245">
        <f>IF($D58=1,IF(($O$4-$C58)&gt;=64,0,$N58),0)</f>
        <v>0</v>
      </c>
      <c r="P58" s="245">
        <f t="shared" si="4"/>
        <v>0</v>
      </c>
      <c r="Q58" s="245">
        <f>IF($D58=1,IF($N58&gt;=180000000,180000000,$N58),0)</f>
        <v>0</v>
      </c>
      <c r="R58" s="245">
        <f t="shared" si="5"/>
        <v>0</v>
      </c>
      <c r="S58" s="248"/>
      <c r="T58" s="224"/>
    </row>
    <row r="59" spans="1:20" s="253" customFormat="1" ht="25.2" customHeight="1" x14ac:dyDescent="0.3">
      <c r="A59" s="245">
        <f t="shared" si="1"/>
        <v>0</v>
      </c>
      <c r="B59" s="246"/>
      <c r="C59" s="247"/>
      <c r="D59" s="252"/>
      <c r="E59" s="249"/>
      <c r="F59" s="252"/>
      <c r="G59" s="252"/>
      <c r="H59" s="251"/>
      <c r="I59" s="246"/>
      <c r="J59" s="246"/>
      <c r="K59" s="246"/>
      <c r="L59" s="21">
        <f>IF($H59=0,0,IF($H59&lt;$N$4,IF($K59=$N$4,IF($J59&lt;10,$J59,9),9))+IF($H59=$N$4,IF($K59=$N$4,IF($J59&lt;10,$J59-$G59+1,9-$G59+1))+IF($H59=$N$4,IF($K59=0,IF($G59&lt;10,9-$G59+1,0),0))))</f>
        <v>0</v>
      </c>
      <c r="M59" s="21"/>
      <c r="N59" s="245"/>
      <c r="O59" s="245">
        <f>IF($D59=1,IF(($O$4-$C59)&gt;=64,0,$N59),0)</f>
        <v>0</v>
      </c>
      <c r="P59" s="245">
        <f t="shared" si="4"/>
        <v>0</v>
      </c>
      <c r="Q59" s="245">
        <f>IF($D59=1,IF($N59&gt;=180000000,180000000,$N59),0)</f>
        <v>0</v>
      </c>
      <c r="R59" s="245">
        <f t="shared" si="5"/>
        <v>0</v>
      </c>
      <c r="S59" s="248"/>
      <c r="T59" s="224"/>
    </row>
    <row r="60" spans="1:20" s="255" customFormat="1" ht="25.2" customHeight="1" x14ac:dyDescent="0.3">
      <c r="A60" s="245">
        <f>IF(R60=0,0,1)</f>
        <v>0</v>
      </c>
      <c r="B60" s="247"/>
      <c r="C60" s="247"/>
      <c r="D60" s="254"/>
      <c r="E60" s="249"/>
      <c r="F60" s="246"/>
      <c r="G60" s="246"/>
      <c r="H60" s="251"/>
      <c r="I60" s="246"/>
      <c r="J60" s="246"/>
      <c r="K60" s="246"/>
      <c r="L60" s="21">
        <f>IF($H60=0,0,IF($H60&lt;$N$4,IF($K60=$N$4,IF($J60&lt;10,$J60,9),9))+IF($H60=$N$4,IF($K60=$N$4,IF($J60&lt;10,$J60-$G60+1,9-$G60+1))+IF($H60=$N$4,IF($K60=0,IF($G60&lt;10,9-$G60+1,0),0))))</f>
        <v>0</v>
      </c>
      <c r="M60" s="21"/>
      <c r="N60" s="245"/>
      <c r="O60" s="245">
        <f>IF($D60=1,IF(($O$4-$C60)&gt;=64,0,$N60),0)</f>
        <v>0</v>
      </c>
      <c r="P60" s="245">
        <f t="shared" si="4"/>
        <v>0</v>
      </c>
      <c r="Q60" s="245">
        <f>IF($D60=1,IF($N60&gt;=180000000,180000000,$N60),0)</f>
        <v>0</v>
      </c>
      <c r="R60" s="245">
        <f t="shared" si="5"/>
        <v>0</v>
      </c>
      <c r="S60" s="248"/>
      <c r="T60" s="224"/>
    </row>
    <row r="61" spans="1:20" s="253" customFormat="1" ht="25.2" customHeight="1" x14ac:dyDescent="0.3">
      <c r="A61" s="245">
        <f t="shared" si="1"/>
        <v>0</v>
      </c>
      <c r="B61" s="246"/>
      <c r="C61" s="247"/>
      <c r="D61" s="252"/>
      <c r="E61" s="249"/>
      <c r="F61" s="252"/>
      <c r="G61" s="252"/>
      <c r="H61" s="251"/>
      <c r="I61" s="246"/>
      <c r="J61" s="246"/>
      <c r="K61" s="246"/>
      <c r="L61" s="21">
        <f>IF($H61=0,0,IF($H61&lt;$N$4,IF($K61=$N$4,IF($J61&lt;10,$J61,9),9))+IF($H61=$N$4,IF($K61=$N$4,IF($J61&lt;10,$J61-$G61+1,9-$G61+1))+IF($H61=$N$4,IF($K61=0,IF($G61&lt;10,9-$G61+1,0),0))))</f>
        <v>0</v>
      </c>
      <c r="M61" s="21"/>
      <c r="N61" s="245"/>
      <c r="O61" s="245">
        <f>IF($D61=1,IF(($O$4-$C61)&gt;=64,0,$N61),0)</f>
        <v>0</v>
      </c>
      <c r="P61" s="245">
        <f t="shared" si="4"/>
        <v>0</v>
      </c>
      <c r="Q61" s="245">
        <f>IF($D61=1,IF($N61&gt;=180000000,180000000,$N61),0)</f>
        <v>0</v>
      </c>
      <c r="R61" s="245">
        <f t="shared" si="5"/>
        <v>0</v>
      </c>
      <c r="S61" s="248"/>
      <c r="T61" s="224"/>
    </row>
    <row r="62" spans="1:20" s="253" customFormat="1" ht="25.2" customHeight="1" x14ac:dyDescent="0.3">
      <c r="A62" s="245">
        <f t="shared" si="1"/>
        <v>0</v>
      </c>
      <c r="B62" s="247"/>
      <c r="C62" s="247"/>
      <c r="D62" s="252"/>
      <c r="E62" s="249"/>
      <c r="F62" s="252"/>
      <c r="G62" s="252"/>
      <c r="H62" s="251"/>
      <c r="I62" s="252"/>
      <c r="J62" s="252"/>
      <c r="K62" s="246"/>
      <c r="L62" s="21">
        <f>IF($H62=0,0,IF($H62&lt;$N$4,IF($K62=$N$4,IF($J62&lt;10,$J62,9),9))+IF($H62=$N$4,IF($K62=$N$4,IF($J62&lt;10,$J62-$G62+1,9-$G62+1))+IF($H62=$N$4,IF($K62=0,IF($G62&lt;10,9-$G62+1,0),0))))</f>
        <v>0</v>
      </c>
      <c r="M62" s="21"/>
      <c r="N62" s="245"/>
      <c r="O62" s="245">
        <f>IF($D62=1,IF(($O$4-$C62)&gt;=64,0,$N62),0)</f>
        <v>0</v>
      </c>
      <c r="P62" s="245">
        <f t="shared" si="4"/>
        <v>0</v>
      </c>
      <c r="Q62" s="245">
        <f>IF($D62=1,IF($N62&gt;=180000000,180000000,$N62),0)</f>
        <v>0</v>
      </c>
      <c r="R62" s="245">
        <f t="shared" si="5"/>
        <v>0</v>
      </c>
      <c r="S62" s="248"/>
      <c r="T62" s="224"/>
    </row>
    <row r="63" spans="1:20" ht="25.2" customHeight="1" x14ac:dyDescent="0.3">
      <c r="A63" s="245">
        <f>IF(R63=0,0,1)</f>
        <v>0</v>
      </c>
      <c r="B63" s="246"/>
      <c r="C63" s="247"/>
      <c r="D63" s="252"/>
      <c r="E63" s="249"/>
      <c r="F63" s="252"/>
      <c r="G63" s="246"/>
      <c r="H63" s="251"/>
      <c r="I63" s="252"/>
      <c r="J63" s="252"/>
      <c r="K63" s="246"/>
      <c r="L63" s="21">
        <f>IF($H63=0,0,IF($H63&lt;$N$4,IF($K63=$N$4,IF($J63&lt;10,$J63,9),9))+IF($H63=$N$4,IF($K63=$N$4,IF($J63&lt;10,$J63-$G63+1,9-$G63+1))+IF($H63=$N$4,IF($K63=0,IF($G63&lt;10,9-$G63+1,0),0))))</f>
        <v>0</v>
      </c>
      <c r="M63" s="21"/>
      <c r="N63" s="245"/>
      <c r="O63" s="245">
        <f>IF($D63=1,IF(($O$4-$C63)&gt;=64,0,$N63),0)</f>
        <v>0</v>
      </c>
      <c r="P63" s="245">
        <f t="shared" si="4"/>
        <v>0</v>
      </c>
      <c r="Q63" s="245">
        <f>IF($D63=1,IF($N63&gt;=180000000,180000000,$N63),0)</f>
        <v>0</v>
      </c>
      <c r="R63" s="245">
        <f t="shared" si="5"/>
        <v>0</v>
      </c>
      <c r="S63" s="248"/>
    </row>
    <row r="64" spans="1:20" s="255" customFormat="1" ht="25.2" customHeight="1" x14ac:dyDescent="0.3">
      <c r="A64" s="245">
        <f>IF(R64=0,0,1)</f>
        <v>0</v>
      </c>
      <c r="B64" s="262"/>
      <c r="C64" s="263"/>
      <c r="D64" s="254"/>
      <c r="E64" s="249"/>
      <c r="F64" s="246"/>
      <c r="G64" s="246"/>
      <c r="H64" s="251"/>
      <c r="I64" s="252"/>
      <c r="J64" s="252"/>
      <c r="K64" s="246"/>
      <c r="L64" s="21">
        <f>IF($H64=0,0,IF($H64&lt;$N$4,IF($K64=$N$4,IF($J64&lt;10,$J64,9),9))+IF($H64=$N$4,IF($K64=$N$4,IF($J64&lt;10,$J64-$G64+1,9-$G64+1))+IF($H64=$N$4,IF($K64=0,IF($G64&lt;10,9-$G64+1,0),0))))</f>
        <v>0</v>
      </c>
      <c r="M64" s="21"/>
      <c r="N64" s="245"/>
      <c r="O64" s="245">
        <f>IF($D64=1,IF(($O$4-$C64)&gt;=64,0,$N64),0)</f>
        <v>0</v>
      </c>
      <c r="P64" s="245">
        <f t="shared" si="4"/>
        <v>0</v>
      </c>
      <c r="Q64" s="245">
        <f>IF($D64=1,IF($N64&gt;=180000000,180000000,$N64),0)</f>
        <v>0</v>
      </c>
      <c r="R64" s="245">
        <f t="shared" si="5"/>
        <v>0</v>
      </c>
      <c r="S64" s="248"/>
      <c r="T64" s="224"/>
    </row>
    <row r="65" spans="1:20" s="255" customFormat="1" ht="25.2" customHeight="1" x14ac:dyDescent="0.3">
      <c r="A65" s="245">
        <f>IF(R65=0,0,1)</f>
        <v>0</v>
      </c>
      <c r="B65" s="262"/>
      <c r="C65" s="263"/>
      <c r="D65" s="252"/>
      <c r="E65" s="249"/>
      <c r="F65" s="246"/>
      <c r="G65" s="246"/>
      <c r="H65" s="251"/>
      <c r="I65" s="252"/>
      <c r="J65" s="252"/>
      <c r="K65" s="246"/>
      <c r="L65" s="21">
        <f>IF($H65=0,0,IF($H65&lt;$N$4,IF($K65=$N$4,IF($J65&lt;10,$J65,9),9))+IF($H65=$N$4,IF($K65=$N$4,IF($J65&lt;10,$J65-$G65+1,9-$G65+1))+IF($H65=$N$4,IF($K65=0,IF($G65&lt;10,9-$G65+1,0),0))))</f>
        <v>0</v>
      </c>
      <c r="M65" s="21"/>
      <c r="N65" s="245"/>
      <c r="O65" s="245">
        <f>IF($D65=1,IF(($O$4-$C65)&gt;=64,0,$N65),0)</f>
        <v>0</v>
      </c>
      <c r="P65" s="245">
        <f t="shared" si="4"/>
        <v>0</v>
      </c>
      <c r="Q65" s="245">
        <f>IF($D65=1,IF($N65&gt;=180000000,180000000,$N65),0)</f>
        <v>0</v>
      </c>
      <c r="R65" s="245">
        <f t="shared" si="5"/>
        <v>0</v>
      </c>
      <c r="S65" s="248"/>
      <c r="T65" s="224"/>
    </row>
    <row r="66" spans="1:20" s="255" customFormat="1" ht="25.2" customHeight="1" x14ac:dyDescent="0.3">
      <c r="A66" s="245">
        <f>IF(R66=0,0,1)</f>
        <v>0</v>
      </c>
      <c r="B66" s="246"/>
      <c r="C66" s="247"/>
      <c r="D66" s="252"/>
      <c r="E66" s="264"/>
      <c r="F66" s="246"/>
      <c r="G66" s="246"/>
      <c r="H66" s="251"/>
      <c r="I66" s="252"/>
      <c r="J66" s="252"/>
      <c r="K66" s="246"/>
      <c r="L66" s="21">
        <f>IF($H66=0,0,IF($H66&lt;$N$4,IF($K66=$N$4,IF($J66&lt;10,$J66,9),9))+IF($H66=$N$4,IF($K66=$N$4,IF($J66&lt;10,$J66-$G66+1,9-$G66+1))+IF($H66=$N$4,IF($K66=0,IF($G66&lt;10,9-$G66+1,0),0))))</f>
        <v>0</v>
      </c>
      <c r="M66" s="21"/>
      <c r="N66" s="245"/>
      <c r="O66" s="245">
        <f>IF($D66=1,IF(($O$4-$C66)&gt;=64,0,$N66),0)</f>
        <v>0</v>
      </c>
      <c r="P66" s="245">
        <f t="shared" si="4"/>
        <v>0</v>
      </c>
      <c r="Q66" s="245">
        <f>IF($D66=1,IF($N66&gt;=180000000,180000000,$N66),0)</f>
        <v>0</v>
      </c>
      <c r="R66" s="245">
        <f t="shared" si="5"/>
        <v>0</v>
      </c>
      <c r="S66" s="248"/>
      <c r="T66" s="224"/>
    </row>
    <row r="67" spans="1:20" ht="25.2" customHeight="1" thickBot="1" x14ac:dyDescent="0.3">
      <c r="A67" s="256">
        <f>SUM(A48:A66)</f>
        <v>0</v>
      </c>
      <c r="B67" s="257"/>
      <c r="C67" s="258"/>
      <c r="D67" s="256">
        <f>SUM(D48:D66)</f>
        <v>0</v>
      </c>
      <c r="E67" s="259" t="s">
        <v>24</v>
      </c>
      <c r="F67" s="256">
        <f t="shared" ref="F67:R67" si="6">SUM(F48:F66)</f>
        <v>0</v>
      </c>
      <c r="G67" s="256">
        <f t="shared" si="6"/>
        <v>0</v>
      </c>
      <c r="H67" s="256">
        <f t="shared" si="6"/>
        <v>0</v>
      </c>
      <c r="I67" s="256">
        <f t="shared" si="6"/>
        <v>0</v>
      </c>
      <c r="J67" s="256">
        <f t="shared" si="6"/>
        <v>0</v>
      </c>
      <c r="K67" s="256">
        <f t="shared" si="6"/>
        <v>0</v>
      </c>
      <c r="L67" s="256">
        <f t="shared" si="6"/>
        <v>0</v>
      </c>
      <c r="M67" s="256">
        <f t="shared" si="6"/>
        <v>0</v>
      </c>
      <c r="N67" s="256">
        <f t="shared" si="6"/>
        <v>0</v>
      </c>
      <c r="O67" s="256">
        <f t="shared" si="6"/>
        <v>0</v>
      </c>
      <c r="P67" s="256">
        <f t="shared" si="6"/>
        <v>0</v>
      </c>
      <c r="Q67" s="256">
        <f t="shared" si="6"/>
        <v>0</v>
      </c>
      <c r="R67" s="256">
        <f t="shared" si="6"/>
        <v>0</v>
      </c>
      <c r="S67" s="248"/>
    </row>
    <row r="68" spans="1:20" ht="25.2" customHeight="1" thickBot="1" x14ac:dyDescent="0.3">
      <c r="A68" s="265">
        <f>A67+A47+A27</f>
        <v>37</v>
      </c>
      <c r="B68" s="266"/>
      <c r="C68" s="267"/>
      <c r="D68" s="265">
        <f>D67+D47+D27</f>
        <v>2</v>
      </c>
      <c r="E68" s="265"/>
      <c r="F68" s="265"/>
      <c r="G68" s="265"/>
      <c r="H68" s="265"/>
      <c r="I68" s="265"/>
      <c r="J68" s="265"/>
      <c r="K68" s="265"/>
      <c r="L68" s="265"/>
      <c r="M68" s="265"/>
      <c r="N68" s="265">
        <f t="shared" ref="N68:Q68" si="7">N67+N47+N27</f>
        <v>10748185000</v>
      </c>
      <c r="O68" s="265">
        <f t="shared" si="7"/>
        <v>388225000</v>
      </c>
      <c r="P68" s="265">
        <f t="shared" si="7"/>
        <v>32999125</v>
      </c>
      <c r="Q68" s="265">
        <f t="shared" si="7"/>
        <v>252000000</v>
      </c>
      <c r="R68" s="265">
        <f>R67+R47+R27</f>
        <v>10748185000</v>
      </c>
      <c r="S68" s="268"/>
    </row>
    <row r="69" spans="1:20" x14ac:dyDescent="0.25">
      <c r="B69" s="269"/>
      <c r="D69" s="271">
        <f>D68-3</f>
        <v>-1</v>
      </c>
    </row>
    <row r="70" spans="1:20" x14ac:dyDescent="0.25">
      <c r="O70" s="269"/>
      <c r="P70" s="269"/>
      <c r="Q70" s="269"/>
      <c r="R70" s="269"/>
      <c r="S70" s="269"/>
    </row>
  </sheetData>
  <mergeCells count="9">
    <mergeCell ref="Q5:R5"/>
    <mergeCell ref="B6:C7"/>
    <mergeCell ref="F6:H6"/>
    <mergeCell ref="I6:K6"/>
    <mergeCell ref="F2:K2"/>
    <mergeCell ref="F4:K4"/>
    <mergeCell ref="O5:P5"/>
    <mergeCell ref="L5:M5"/>
    <mergeCell ref="L6:M6"/>
  </mergeCells>
  <printOptions horizontalCentered="1"/>
  <pageMargins left="0" right="0" top="0.23622047244094491" bottom="0.23622047244094491" header="0.51181102362204722" footer="0.51181102362204722"/>
  <pageSetup paperSize="9" scale="83" orientation="landscape" verticalDpi="300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3"/>
  <sheetViews>
    <sheetView rightToLeft="1" view="pageBreakPreview" topLeftCell="A12" zoomScaleNormal="75" zoomScaleSheetLayoutView="100" workbookViewId="0">
      <selection activeCell="L34" sqref="L34"/>
    </sheetView>
  </sheetViews>
  <sheetFormatPr defaultColWidth="8.69140625" defaultRowHeight="17.399999999999999" x14ac:dyDescent="0.3"/>
  <cols>
    <col min="1" max="1" width="6.23046875" customWidth="1"/>
    <col min="2" max="2" width="12.53515625" customWidth="1"/>
    <col min="3" max="3" width="11.15234375" customWidth="1"/>
    <col min="4" max="6" width="12.23046875" customWidth="1"/>
    <col min="7" max="7" width="2.84375" customWidth="1"/>
    <col min="8" max="8" width="2.61328125" customWidth="1"/>
  </cols>
  <sheetData>
    <row r="1" spans="1:8" x14ac:dyDescent="0.3">
      <c r="A1" s="2"/>
    </row>
    <row r="2" spans="1:8" x14ac:dyDescent="0.3">
      <c r="A2" s="3" t="s">
        <v>63</v>
      </c>
      <c r="B2" s="5"/>
      <c r="C2" s="5"/>
      <c r="D2" s="182" t="s">
        <v>4</v>
      </c>
      <c r="E2" s="190">
        <f>'الرواتب والاجور'!M2</f>
        <v>0</v>
      </c>
      <c r="F2" s="183">
        <v>82</v>
      </c>
      <c r="G2" s="190">
        <f>'الرواتب والاجور'!P2</f>
        <v>0</v>
      </c>
    </row>
    <row r="3" spans="1:8" ht="20.100000000000001" customHeight="1" x14ac:dyDescent="0.3">
      <c r="A3" s="3" t="s">
        <v>31</v>
      </c>
      <c r="B3" s="5"/>
      <c r="C3" s="3"/>
      <c r="D3" s="184"/>
      <c r="E3" s="3"/>
      <c r="F3" s="3"/>
      <c r="G3" s="185"/>
    </row>
    <row r="4" spans="1:8" ht="20.100000000000001" customHeight="1" x14ac:dyDescent="0.3">
      <c r="A4" s="3" t="s">
        <v>64</v>
      </c>
      <c r="B4" s="5"/>
      <c r="C4" s="3" t="s">
        <v>25</v>
      </c>
      <c r="D4" s="184" t="e">
        <f>'الرواتب والاجور'!#REF!</f>
        <v>#REF!</v>
      </c>
      <c r="E4" s="3"/>
      <c r="F4" s="3"/>
      <c r="G4" s="185"/>
    </row>
    <row r="5" spans="1:8" x14ac:dyDescent="0.3">
      <c r="A5" s="3" t="s">
        <v>130</v>
      </c>
      <c r="B5" s="3">
        <f>'الرواتب والاجور'!B3</f>
        <v>2025</v>
      </c>
      <c r="C5" s="5"/>
      <c r="D5" s="186"/>
      <c r="E5" s="187"/>
      <c r="F5" s="187"/>
      <c r="G5" s="188"/>
      <c r="H5" s="4"/>
    </row>
    <row r="6" spans="1:8" x14ac:dyDescent="0.3">
      <c r="A6" s="5"/>
      <c r="B6" s="4" t="s">
        <v>65</v>
      </c>
      <c r="C6" s="4"/>
      <c r="D6" s="4"/>
      <c r="E6" s="4"/>
      <c r="F6" s="4"/>
      <c r="G6" s="6"/>
      <c r="H6" s="7"/>
    </row>
    <row r="7" spans="1:8" x14ac:dyDescent="0.3">
      <c r="A7" s="5"/>
      <c r="B7" s="4" t="s">
        <v>66</v>
      </c>
      <c r="C7" s="4"/>
      <c r="D7" s="4"/>
      <c r="E7" s="4"/>
      <c r="F7" s="4"/>
      <c r="G7" s="4"/>
      <c r="H7" s="4"/>
    </row>
    <row r="8" spans="1:8" x14ac:dyDescent="0.3">
      <c r="A8" s="5"/>
      <c r="B8" s="4" t="s">
        <v>67</v>
      </c>
      <c r="C8" s="4"/>
      <c r="D8" s="4"/>
      <c r="E8" s="4"/>
      <c r="F8" s="4"/>
      <c r="G8" s="4"/>
      <c r="H8" s="4"/>
    </row>
    <row r="9" spans="1:8" x14ac:dyDescent="0.3">
      <c r="A9" s="5"/>
      <c r="B9" s="4" t="s">
        <v>68</v>
      </c>
      <c r="C9" s="4"/>
      <c r="D9" s="4"/>
      <c r="E9" s="4"/>
      <c r="F9" s="4"/>
      <c r="G9" s="4"/>
      <c r="H9" s="4"/>
    </row>
    <row r="10" spans="1:8" x14ac:dyDescent="0.3">
      <c r="A10" s="2" t="s">
        <v>69</v>
      </c>
      <c r="B10" s="8" t="s">
        <v>70</v>
      </c>
    </row>
    <row r="11" spans="1:8" x14ac:dyDescent="0.3">
      <c r="A11" s="5"/>
      <c r="B11" s="4"/>
      <c r="C11" s="9" t="s">
        <v>34</v>
      </c>
      <c r="D11" s="9" t="s">
        <v>71</v>
      </c>
      <c r="E11" s="10" t="s">
        <v>72</v>
      </c>
      <c r="F11" s="9" t="s">
        <v>73</v>
      </c>
    </row>
    <row r="12" spans="1:8" ht="20.100000000000001" customHeight="1" x14ac:dyDescent="0.3">
      <c r="A12" s="5"/>
      <c r="B12" s="4"/>
      <c r="C12" s="11" t="s">
        <v>74</v>
      </c>
      <c r="D12" s="191">
        <v>18525000</v>
      </c>
      <c r="E12" s="191">
        <v>24000000</v>
      </c>
      <c r="F12" s="191">
        <v>630950000</v>
      </c>
    </row>
    <row r="13" spans="1:8" ht="20.100000000000001" customHeight="1" x14ac:dyDescent="0.3">
      <c r="A13" s="5"/>
      <c r="B13" s="4"/>
      <c r="C13" s="11" t="s">
        <v>75</v>
      </c>
      <c r="D13" s="191">
        <v>18525000</v>
      </c>
      <c r="E13" s="191">
        <v>24000000</v>
      </c>
      <c r="F13" s="191">
        <v>630950000</v>
      </c>
    </row>
    <row r="14" spans="1:8" ht="20.100000000000001" customHeight="1" x14ac:dyDescent="0.3">
      <c r="A14" s="5"/>
      <c r="B14" s="4"/>
      <c r="C14" s="11" t="s">
        <v>76</v>
      </c>
      <c r="D14" s="191">
        <v>18525000</v>
      </c>
      <c r="E14" s="191">
        <v>24000000</v>
      </c>
      <c r="F14" s="191">
        <v>630950000</v>
      </c>
    </row>
    <row r="15" spans="1:8" ht="20.100000000000001" customHeight="1" x14ac:dyDescent="0.3">
      <c r="A15" s="5"/>
      <c r="B15" s="4"/>
      <c r="C15" s="11" t="s">
        <v>77</v>
      </c>
      <c r="D15" s="191">
        <v>18525000</v>
      </c>
      <c r="E15" s="191">
        <v>24000000</v>
      </c>
      <c r="F15" s="191">
        <v>630950000</v>
      </c>
    </row>
    <row r="16" spans="1:8" ht="20.100000000000001" customHeight="1" x14ac:dyDescent="0.3">
      <c r="A16" s="5"/>
      <c r="B16" s="4"/>
      <c r="C16" s="11" t="s">
        <v>78</v>
      </c>
      <c r="D16" s="191">
        <v>18525000</v>
      </c>
      <c r="E16" s="191">
        <v>24000000</v>
      </c>
      <c r="F16" s="191">
        <v>630950000</v>
      </c>
    </row>
    <row r="17" spans="1:8" ht="20.100000000000001" customHeight="1" x14ac:dyDescent="0.3">
      <c r="A17" s="5"/>
      <c r="B17" s="4"/>
      <c r="C17" s="11" t="s">
        <v>79</v>
      </c>
      <c r="D17" s="191">
        <v>18525000</v>
      </c>
      <c r="E17" s="191">
        <v>24000000</v>
      </c>
      <c r="F17" s="191">
        <v>630950000</v>
      </c>
    </row>
    <row r="18" spans="1:8" ht="20.100000000000001" customHeight="1" x14ac:dyDescent="0.3">
      <c r="A18" s="5"/>
      <c r="B18" s="4"/>
      <c r="C18" s="11" t="s">
        <v>80</v>
      </c>
      <c r="D18" s="191">
        <v>18525000</v>
      </c>
      <c r="E18" s="191">
        <v>18000000</v>
      </c>
      <c r="F18" s="191">
        <v>594525000</v>
      </c>
    </row>
    <row r="19" spans="1:8" ht="20.100000000000001" customHeight="1" x14ac:dyDescent="0.3">
      <c r="A19" s="5"/>
      <c r="B19" s="4"/>
      <c r="C19" s="11" t="s">
        <v>81</v>
      </c>
      <c r="D19" s="191">
        <v>29000000</v>
      </c>
      <c r="E19" s="191">
        <v>18000000</v>
      </c>
      <c r="F19" s="191">
        <v>926000000</v>
      </c>
    </row>
    <row r="20" spans="1:8" ht="20.100000000000001" customHeight="1" x14ac:dyDescent="0.3">
      <c r="A20" s="5"/>
      <c r="B20" s="4"/>
      <c r="C20" s="11" t="s">
        <v>82</v>
      </c>
      <c r="D20" s="191">
        <v>29000000</v>
      </c>
      <c r="E20" s="191">
        <v>18000000</v>
      </c>
      <c r="F20" s="191">
        <v>926000000</v>
      </c>
    </row>
    <row r="21" spans="1:8" ht="20.100000000000001" customHeight="1" x14ac:dyDescent="0.3">
      <c r="A21" s="2" t="s">
        <v>83</v>
      </c>
      <c r="B21" s="4" t="s">
        <v>84</v>
      </c>
      <c r="C21" s="11" t="s">
        <v>85</v>
      </c>
      <c r="D21" s="20">
        <v>30000000</v>
      </c>
      <c r="E21" s="191">
        <v>18000000</v>
      </c>
      <c r="F21" s="20">
        <v>1505320000</v>
      </c>
      <c r="H21" s="22"/>
    </row>
    <row r="22" spans="1:8" ht="20.100000000000001" customHeight="1" x14ac:dyDescent="0.3">
      <c r="A22" s="2" t="s">
        <v>86</v>
      </c>
      <c r="B22" s="4" t="s">
        <v>84</v>
      </c>
      <c r="C22" s="96" t="s">
        <v>87</v>
      </c>
      <c r="D22" s="191">
        <v>30000000</v>
      </c>
      <c r="E22" s="20">
        <v>18000000</v>
      </c>
      <c r="F22" s="20">
        <v>1505320000</v>
      </c>
    </row>
    <row r="23" spans="1:8" ht="20.100000000000001" customHeight="1" x14ac:dyDescent="0.3">
      <c r="A23" s="2" t="s">
        <v>88</v>
      </c>
      <c r="B23" s="4" t="s">
        <v>84</v>
      </c>
      <c r="C23" s="96" t="s">
        <v>30</v>
      </c>
      <c r="D23" s="20">
        <v>30000000</v>
      </c>
      <c r="E23" s="20">
        <v>18000000</v>
      </c>
      <c r="F23" s="20">
        <v>1505320000</v>
      </c>
    </row>
    <row r="24" spans="1:8" ht="20.100000000000001" customHeight="1" x14ac:dyDescent="0.3">
      <c r="B24" s="4"/>
      <c r="C24" s="11" t="s">
        <v>89</v>
      </c>
      <c r="D24" s="191">
        <v>0</v>
      </c>
      <c r="E24" s="191">
        <v>0</v>
      </c>
      <c r="F24" s="276">
        <v>0</v>
      </c>
    </row>
    <row r="25" spans="1:8" ht="20.100000000000001" customHeight="1" x14ac:dyDescent="0.3">
      <c r="B25" s="12"/>
      <c r="C25" s="9" t="s">
        <v>28</v>
      </c>
      <c r="D25" s="191">
        <f>SUM(D12:D24)</f>
        <v>277675000</v>
      </c>
      <c r="E25" s="191">
        <f>SUM(E12:E24)</f>
        <v>252000000</v>
      </c>
      <c r="F25" s="191">
        <f>SUM(F12:F24)</f>
        <v>10748185000</v>
      </c>
    </row>
    <row r="26" spans="1:8" ht="15" customHeight="1" x14ac:dyDescent="0.3">
      <c r="B26" s="4"/>
      <c r="C26" s="11"/>
      <c r="D26" s="13" t="s">
        <v>90</v>
      </c>
      <c r="E26" s="13" t="s">
        <v>91</v>
      </c>
      <c r="F26" s="13" t="s">
        <v>92</v>
      </c>
    </row>
    <row r="27" spans="1:8" x14ac:dyDescent="0.3">
      <c r="A27" s="2" t="s">
        <v>93</v>
      </c>
      <c r="B27" s="3" t="s">
        <v>94</v>
      </c>
      <c r="C27" s="5"/>
      <c r="D27" s="5"/>
      <c r="E27" s="5"/>
    </row>
    <row r="28" spans="1:8" x14ac:dyDescent="0.3">
      <c r="B28" s="5"/>
      <c r="C28" s="5"/>
      <c r="D28" s="14" t="s">
        <v>71</v>
      </c>
      <c r="E28" s="15" t="s">
        <v>72</v>
      </c>
      <c r="F28" s="14" t="s">
        <v>73</v>
      </c>
    </row>
    <row r="29" spans="1:8" x14ac:dyDescent="0.3">
      <c r="B29" s="3" t="s">
        <v>95</v>
      </c>
      <c r="C29" s="5"/>
      <c r="D29" s="191">
        <f>'الرواتب والاجور'!O68</f>
        <v>388225000</v>
      </c>
      <c r="E29" s="191">
        <f>'الرواتب والاجور'!Q68</f>
        <v>252000000</v>
      </c>
      <c r="F29" s="191">
        <f>'الرواتب والاجور'!R68</f>
        <v>10748185000</v>
      </c>
    </row>
    <row r="30" spans="1:8" ht="15" customHeight="1" x14ac:dyDescent="0.3">
      <c r="B30" s="16" t="s">
        <v>96</v>
      </c>
      <c r="C30" s="5"/>
      <c r="D30" s="13" t="s">
        <v>97</v>
      </c>
      <c r="E30" s="13" t="s">
        <v>98</v>
      </c>
      <c r="F30" s="13" t="s">
        <v>99</v>
      </c>
    </row>
    <row r="31" spans="1:8" ht="20.100000000000001" customHeight="1" x14ac:dyDescent="0.3">
      <c r="B31" s="3" t="s">
        <v>100</v>
      </c>
      <c r="C31" s="5"/>
      <c r="D31" s="191">
        <f>D25</f>
        <v>277675000</v>
      </c>
      <c r="E31" s="191">
        <f>E25</f>
        <v>252000000</v>
      </c>
      <c r="F31" s="191">
        <f>F25</f>
        <v>10748185000</v>
      </c>
    </row>
    <row r="32" spans="1:8" ht="15" customHeight="1" x14ac:dyDescent="0.3">
      <c r="B32" s="5"/>
      <c r="C32" s="5"/>
      <c r="D32" s="13" t="s">
        <v>90</v>
      </c>
      <c r="E32" s="13" t="s">
        <v>91</v>
      </c>
      <c r="F32" s="13" t="s">
        <v>92</v>
      </c>
    </row>
    <row r="33" spans="1:6" ht="20.100000000000001" customHeight="1" x14ac:dyDescent="0.3">
      <c r="B33" s="16" t="s">
        <v>101</v>
      </c>
      <c r="C33" s="5"/>
      <c r="D33" s="191">
        <f>D29-D31</f>
        <v>110550000</v>
      </c>
      <c r="E33" s="191">
        <f>E29-E31</f>
        <v>0</v>
      </c>
      <c r="F33" s="191">
        <f>F29-F31</f>
        <v>0</v>
      </c>
    </row>
    <row r="34" spans="1:6" ht="15" customHeight="1" x14ac:dyDescent="0.3">
      <c r="B34" s="5"/>
      <c r="C34" s="5"/>
      <c r="D34" s="17">
        <v>8.5000000000000006E-2</v>
      </c>
      <c r="E34" s="18">
        <v>0.06</v>
      </c>
      <c r="F34" s="18">
        <v>0.11</v>
      </c>
    </row>
    <row r="35" spans="1:6" x14ac:dyDescent="0.3">
      <c r="B35" s="16" t="s">
        <v>102</v>
      </c>
      <c r="D35" s="191">
        <f>D33*D34</f>
        <v>9396750</v>
      </c>
      <c r="E35" s="191">
        <f>E33*E34</f>
        <v>0</v>
      </c>
      <c r="F35" s="191">
        <f>F33*F34</f>
        <v>0</v>
      </c>
    </row>
    <row r="36" spans="1:6" ht="20.100000000000001" customHeight="1" x14ac:dyDescent="0.3">
      <c r="C36" s="3" t="s">
        <v>103</v>
      </c>
      <c r="D36" s="5"/>
      <c r="E36" s="277">
        <f>F35+E35+D35</f>
        <v>9396750</v>
      </c>
      <c r="F36" s="278"/>
    </row>
    <row r="37" spans="1:6" x14ac:dyDescent="0.3">
      <c r="A37" s="2" t="s">
        <v>104</v>
      </c>
      <c r="B37" t="s">
        <v>105</v>
      </c>
      <c r="C37" s="5"/>
      <c r="D37" s="5"/>
      <c r="E37" s="19"/>
      <c r="F37" s="5"/>
    </row>
    <row r="38" spans="1:6" ht="21" customHeight="1" x14ac:dyDescent="0.3">
      <c r="B38" s="5" t="s">
        <v>106</v>
      </c>
      <c r="C38" s="3"/>
      <c r="E38" s="5" t="s">
        <v>107</v>
      </c>
      <c r="F38" s="3" t="s">
        <v>131</v>
      </c>
    </row>
    <row r="39" spans="1:6" x14ac:dyDescent="0.3">
      <c r="B39" s="5" t="s">
        <v>108</v>
      </c>
      <c r="C39" s="5"/>
      <c r="D39" s="5"/>
      <c r="E39" s="5"/>
      <c r="F39" s="5"/>
    </row>
    <row r="40" spans="1:6" x14ac:dyDescent="0.3">
      <c r="B40" s="5" t="s">
        <v>109</v>
      </c>
      <c r="C40" s="5"/>
      <c r="D40" s="5"/>
      <c r="E40" s="5"/>
      <c r="F40" s="5"/>
    </row>
    <row r="41" spans="1:6" x14ac:dyDescent="0.3">
      <c r="C41" s="5"/>
      <c r="D41" s="16" t="s">
        <v>110</v>
      </c>
      <c r="E41" s="220"/>
    </row>
    <row r="42" spans="1:6" x14ac:dyDescent="0.3">
      <c r="C42" s="16" t="s">
        <v>111</v>
      </c>
      <c r="D42" s="5"/>
      <c r="E42" s="16" t="s">
        <v>112</v>
      </c>
    </row>
    <row r="43" spans="1:6" x14ac:dyDescent="0.3">
      <c r="E43" s="1"/>
    </row>
  </sheetData>
  <mergeCells count="1">
    <mergeCell ref="E36:F36"/>
  </mergeCells>
  <printOptions horizontalCentered="1"/>
  <pageMargins left="0" right="0" top="0.1" bottom="0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فقرة 50</vt:lpstr>
      <vt:lpstr>التسوية</vt:lpstr>
      <vt:lpstr>الرواتب والاجور</vt:lpstr>
      <vt:lpstr>التصريح الاسمي </vt:lpstr>
      <vt:lpstr>التسوية!Print_Area</vt:lpstr>
      <vt:lpstr>'فقرة 50'!Print_Area</vt:lpstr>
      <vt:lpstr>'الرواتب والاجور'!Print_Titles</vt:lpstr>
    </vt:vector>
  </TitlesOfParts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Win98sea</dc:creator>
  <cp:lastModifiedBy>user</cp:lastModifiedBy>
  <cp:revision/>
  <cp:lastPrinted>2026-02-06T10:42:01Z</cp:lastPrinted>
  <dcterms:created xsi:type="dcterms:W3CDTF">2004-02-04T07:15:38Z</dcterms:created>
  <dcterms:modified xsi:type="dcterms:W3CDTF">2026-08-26T08:41:14Z</dcterms:modified>
</cp:coreProperties>
</file>